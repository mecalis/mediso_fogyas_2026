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tjakob\Downloads\feltölteni\"/>
    </mc:Choice>
  </mc:AlternateContent>
  <xr:revisionPtr revIDLastSave="0" documentId="13_ncr:1_{9E13FED7-ABAE-4BFC-99C0-94BADB08A746}" xr6:coauthVersionLast="36" xr6:coauthVersionMax="36" xr10:uidLastSave="{00000000-0000-0000-0000-000000000000}"/>
  <bookViews>
    <workbookView xWindow="0" yWindow="0" windowWidth="28800" windowHeight="14025" xr2:uid="{00000000-000D-0000-FFFF-FFFF00000000}"/>
  </bookViews>
  <sheets>
    <sheet name="2026 tavasz" sheetId="1" r:id="rId1"/>
    <sheet name="2026 Tavasz diagram" sheetId="2" r:id="rId2"/>
    <sheet name="Tippjáték" sheetId="3" r:id="rId3"/>
    <sheet name="Éves adatsor" sheetId="4" r:id="rId4"/>
    <sheet name="Éves diagram" sheetId="5" r:id="rId5"/>
  </sheets>
  <calcPr calcId="191029"/>
</workbook>
</file>

<file path=xl/calcChain.xml><?xml version="1.0" encoding="utf-8"?>
<calcChain xmlns="http://schemas.openxmlformats.org/spreadsheetml/2006/main">
  <c r="D89" i="5" l="1"/>
  <c r="C89" i="5"/>
  <c r="C87" i="5"/>
  <c r="C85" i="5"/>
  <c r="C83" i="5"/>
  <c r="E72" i="5"/>
  <c r="G70" i="5"/>
  <c r="D70" i="5"/>
  <c r="D67" i="5"/>
  <c r="AA25" i="5"/>
  <c r="G69" i="5" s="1"/>
  <c r="Q25" i="5"/>
  <c r="G25" i="5"/>
  <c r="AA24" i="5"/>
  <c r="G73" i="5" s="1"/>
  <c r="Q24" i="5"/>
  <c r="G24" i="5"/>
  <c r="AA23" i="5"/>
  <c r="G74" i="5" s="1"/>
  <c r="Q23" i="5"/>
  <c r="G23" i="5"/>
  <c r="AA22" i="5"/>
  <c r="G67" i="5" s="1"/>
  <c r="Q22" i="5"/>
  <c r="G22" i="5"/>
  <c r="AA21" i="5"/>
  <c r="Q21" i="5"/>
  <c r="G21" i="5"/>
  <c r="AA20" i="5"/>
  <c r="G66" i="5" s="1"/>
  <c r="Q20" i="5"/>
  <c r="G20" i="5"/>
  <c r="AA19" i="5"/>
  <c r="G68" i="5" s="1"/>
  <c r="Q19" i="5"/>
  <c r="G19" i="5"/>
  <c r="T17" i="5"/>
  <c r="J17" i="5"/>
  <c r="B14" i="5"/>
  <c r="AJ13" i="5"/>
  <c r="AJ26" i="5" s="1"/>
  <c r="AA13" i="5"/>
  <c r="Z13" i="5"/>
  <c r="Y13" i="5"/>
  <c r="X13" i="5"/>
  <c r="W13" i="5"/>
  <c r="V13" i="5"/>
  <c r="V26" i="5" s="1"/>
  <c r="U13" i="5"/>
  <c r="T13" i="5"/>
  <c r="S13" i="5"/>
  <c r="R13" i="5"/>
  <c r="R26" i="5" s="1"/>
  <c r="Q13" i="5"/>
  <c r="P13" i="5"/>
  <c r="O13" i="5"/>
  <c r="N13" i="5"/>
  <c r="M13" i="5"/>
  <c r="L13" i="5"/>
  <c r="L26" i="5" s="1"/>
  <c r="K13" i="5"/>
  <c r="J13" i="5"/>
  <c r="I13" i="5"/>
  <c r="H13" i="5"/>
  <c r="H26" i="5" s="1"/>
  <c r="G13" i="5"/>
  <c r="F13" i="5"/>
  <c r="E13" i="5"/>
  <c r="D13" i="5"/>
  <c r="C13" i="5"/>
  <c r="B13" i="5"/>
  <c r="C86" i="5" s="1"/>
  <c r="AA12" i="5"/>
  <c r="H69" i="5" s="1"/>
  <c r="Z12" i="5"/>
  <c r="Z25" i="5" s="1"/>
  <c r="Y12" i="5"/>
  <c r="Y25" i="5" s="1"/>
  <c r="X12" i="5"/>
  <c r="X25" i="5" s="1"/>
  <c r="W12" i="5"/>
  <c r="W25" i="5" s="1"/>
  <c r="V12" i="5"/>
  <c r="V25" i="5" s="1"/>
  <c r="U12" i="5"/>
  <c r="U25" i="5" s="1"/>
  <c r="T12" i="5"/>
  <c r="T25" i="5" s="1"/>
  <c r="S12" i="5"/>
  <c r="S25" i="5" s="1"/>
  <c r="R12" i="5"/>
  <c r="R25" i="5" s="1"/>
  <c r="Q12" i="5"/>
  <c r="P12" i="5"/>
  <c r="P25" i="5" s="1"/>
  <c r="O12" i="5"/>
  <c r="O25" i="5" s="1"/>
  <c r="N12" i="5"/>
  <c r="N25" i="5" s="1"/>
  <c r="M12" i="5"/>
  <c r="M25" i="5" s="1"/>
  <c r="L12" i="5"/>
  <c r="L25" i="5" s="1"/>
  <c r="K12" i="5"/>
  <c r="K25" i="5" s="1"/>
  <c r="J12" i="5"/>
  <c r="J25" i="5" s="1"/>
  <c r="I12" i="5"/>
  <c r="I25" i="5" s="1"/>
  <c r="H12" i="5"/>
  <c r="H25" i="5" s="1"/>
  <c r="G12" i="5"/>
  <c r="F12" i="5"/>
  <c r="F25" i="5" s="1"/>
  <c r="E12" i="5"/>
  <c r="E25" i="5" s="1"/>
  <c r="D12" i="5"/>
  <c r="D25" i="5" s="1"/>
  <c r="C12" i="5"/>
  <c r="E69" i="5" s="1"/>
  <c r="B12" i="5"/>
  <c r="D69" i="5" s="1"/>
  <c r="AA11" i="5"/>
  <c r="H73" i="5" s="1"/>
  <c r="Z11" i="5"/>
  <c r="Z24" i="5" s="1"/>
  <c r="Y11" i="5"/>
  <c r="Y24" i="5" s="1"/>
  <c r="X11" i="5"/>
  <c r="X24" i="5" s="1"/>
  <c r="W11" i="5"/>
  <c r="W24" i="5" s="1"/>
  <c r="V11" i="5"/>
  <c r="V24" i="5" s="1"/>
  <c r="U11" i="5"/>
  <c r="U24" i="5" s="1"/>
  <c r="T11" i="5"/>
  <c r="T24" i="5" s="1"/>
  <c r="S11" i="5"/>
  <c r="S24" i="5" s="1"/>
  <c r="R11" i="5"/>
  <c r="R24" i="5" s="1"/>
  <c r="Q11" i="5"/>
  <c r="P11" i="5"/>
  <c r="P24" i="5" s="1"/>
  <c r="O11" i="5"/>
  <c r="O24" i="5" s="1"/>
  <c r="N11" i="5"/>
  <c r="N24" i="5" s="1"/>
  <c r="M11" i="5"/>
  <c r="M24" i="5" s="1"/>
  <c r="L11" i="5"/>
  <c r="L24" i="5" s="1"/>
  <c r="K11" i="5"/>
  <c r="K24" i="5" s="1"/>
  <c r="J11" i="5"/>
  <c r="J24" i="5" s="1"/>
  <c r="I11" i="5"/>
  <c r="I24" i="5" s="1"/>
  <c r="H11" i="5"/>
  <c r="H24" i="5" s="1"/>
  <c r="G11" i="5"/>
  <c r="F11" i="5"/>
  <c r="F24" i="5" s="1"/>
  <c r="E11" i="5"/>
  <c r="E24" i="5" s="1"/>
  <c r="D11" i="5"/>
  <c r="D24" i="5" s="1"/>
  <c r="C11" i="5"/>
  <c r="D88" i="5" s="1"/>
  <c r="B11" i="5"/>
  <c r="C88" i="5" s="1"/>
  <c r="AA10" i="5"/>
  <c r="F74" i="5" s="1"/>
  <c r="Z10" i="5"/>
  <c r="Z23" i="5" s="1"/>
  <c r="Y10" i="5"/>
  <c r="Y23" i="5" s="1"/>
  <c r="X10" i="5"/>
  <c r="X23" i="5" s="1"/>
  <c r="W10" i="5"/>
  <c r="W23" i="5" s="1"/>
  <c r="V10" i="5"/>
  <c r="V23" i="5" s="1"/>
  <c r="U10" i="5"/>
  <c r="U23" i="5" s="1"/>
  <c r="T10" i="5"/>
  <c r="T23" i="5" s="1"/>
  <c r="S10" i="5"/>
  <c r="S23" i="5" s="1"/>
  <c r="R10" i="5"/>
  <c r="R23" i="5" s="1"/>
  <c r="Q10" i="5"/>
  <c r="P10" i="5"/>
  <c r="P23" i="5" s="1"/>
  <c r="O10" i="5"/>
  <c r="O23" i="5" s="1"/>
  <c r="N10" i="5"/>
  <c r="N23" i="5" s="1"/>
  <c r="M10" i="5"/>
  <c r="M23" i="5" s="1"/>
  <c r="L10" i="5"/>
  <c r="L23" i="5" s="1"/>
  <c r="K10" i="5"/>
  <c r="K23" i="5" s="1"/>
  <c r="J10" i="5"/>
  <c r="J23" i="5" s="1"/>
  <c r="I10" i="5"/>
  <c r="I23" i="5" s="1"/>
  <c r="H10" i="5"/>
  <c r="H23" i="5" s="1"/>
  <c r="G10" i="5"/>
  <c r="F10" i="5"/>
  <c r="F23" i="5" s="1"/>
  <c r="E10" i="5"/>
  <c r="E23" i="5" s="1"/>
  <c r="D10" i="5"/>
  <c r="D23" i="5" s="1"/>
  <c r="C10" i="5"/>
  <c r="E74" i="5" s="1"/>
  <c r="B10" i="5"/>
  <c r="AA9" i="5"/>
  <c r="H67" i="5" s="1"/>
  <c r="Z9" i="5"/>
  <c r="Z22" i="5" s="1"/>
  <c r="Y9" i="5"/>
  <c r="Y22" i="5" s="1"/>
  <c r="X9" i="5"/>
  <c r="X22" i="5" s="1"/>
  <c r="W9" i="5"/>
  <c r="W22" i="5" s="1"/>
  <c r="V9" i="5"/>
  <c r="V22" i="5" s="1"/>
  <c r="U9" i="5"/>
  <c r="U22" i="5" s="1"/>
  <c r="T9" i="5"/>
  <c r="T22" i="5" s="1"/>
  <c r="S9" i="5"/>
  <c r="S22" i="5" s="1"/>
  <c r="R9" i="5"/>
  <c r="R22" i="5" s="1"/>
  <c r="Q9" i="5"/>
  <c r="P9" i="5"/>
  <c r="P22" i="5" s="1"/>
  <c r="O9" i="5"/>
  <c r="O22" i="5" s="1"/>
  <c r="N9" i="5"/>
  <c r="N22" i="5" s="1"/>
  <c r="M9" i="5"/>
  <c r="M22" i="5" s="1"/>
  <c r="L9" i="5"/>
  <c r="L22" i="5" s="1"/>
  <c r="K9" i="5"/>
  <c r="K22" i="5" s="1"/>
  <c r="J9" i="5"/>
  <c r="J22" i="5" s="1"/>
  <c r="I9" i="5"/>
  <c r="I22" i="5" s="1"/>
  <c r="H9" i="5"/>
  <c r="H22" i="5" s="1"/>
  <c r="G9" i="5"/>
  <c r="F9" i="5"/>
  <c r="F22" i="5" s="1"/>
  <c r="E9" i="5"/>
  <c r="E22" i="5" s="1"/>
  <c r="D9" i="5"/>
  <c r="D22" i="5" s="1"/>
  <c r="C9" i="5"/>
  <c r="D82" i="5" s="1"/>
  <c r="B9" i="5"/>
  <c r="C82" i="5" s="1"/>
  <c r="AA8" i="5"/>
  <c r="F70" i="5" s="1"/>
  <c r="Z8" i="5"/>
  <c r="Z21" i="5" s="1"/>
  <c r="Y8" i="5"/>
  <c r="Y21" i="5" s="1"/>
  <c r="X8" i="5"/>
  <c r="X21" i="5" s="1"/>
  <c r="W8" i="5"/>
  <c r="W21" i="5" s="1"/>
  <c r="V8" i="5"/>
  <c r="V21" i="5" s="1"/>
  <c r="U8" i="5"/>
  <c r="U21" i="5" s="1"/>
  <c r="T8" i="5"/>
  <c r="T21" i="5" s="1"/>
  <c r="S8" i="5"/>
  <c r="S21" i="5" s="1"/>
  <c r="R8" i="5"/>
  <c r="R21" i="5" s="1"/>
  <c r="Q8" i="5"/>
  <c r="P8" i="5"/>
  <c r="P21" i="5" s="1"/>
  <c r="O8" i="5"/>
  <c r="O21" i="5" s="1"/>
  <c r="N8" i="5"/>
  <c r="N21" i="5" s="1"/>
  <c r="M8" i="5"/>
  <c r="M21" i="5" s="1"/>
  <c r="L8" i="5"/>
  <c r="L21" i="5" s="1"/>
  <c r="K8" i="5"/>
  <c r="K21" i="5" s="1"/>
  <c r="J8" i="5"/>
  <c r="J21" i="5" s="1"/>
  <c r="I8" i="5"/>
  <c r="I21" i="5" s="1"/>
  <c r="H8" i="5"/>
  <c r="H21" i="5" s="1"/>
  <c r="G8" i="5"/>
  <c r="F8" i="5"/>
  <c r="F21" i="5" s="1"/>
  <c r="E8" i="5"/>
  <c r="E21" i="5" s="1"/>
  <c r="D8" i="5"/>
  <c r="D21" i="5" s="1"/>
  <c r="C8" i="5"/>
  <c r="E70" i="5" s="1"/>
  <c r="B8" i="5"/>
  <c r="C84" i="5" s="1"/>
  <c r="AR7" i="5"/>
  <c r="AR20" i="5" s="1"/>
  <c r="AA7" i="5"/>
  <c r="F66" i="5" s="1"/>
  <c r="Z7" i="5"/>
  <c r="Z20" i="5" s="1"/>
  <c r="Y7" i="5"/>
  <c r="Y20" i="5" s="1"/>
  <c r="X7" i="5"/>
  <c r="X20" i="5" s="1"/>
  <c r="W7" i="5"/>
  <c r="W20" i="5" s="1"/>
  <c r="V7" i="5"/>
  <c r="V20" i="5" s="1"/>
  <c r="U7" i="5"/>
  <c r="U20" i="5" s="1"/>
  <c r="T7" i="5"/>
  <c r="T20" i="5" s="1"/>
  <c r="S7" i="5"/>
  <c r="S20" i="5" s="1"/>
  <c r="R7" i="5"/>
  <c r="R20" i="5" s="1"/>
  <c r="Q7" i="5"/>
  <c r="P7" i="5"/>
  <c r="P20" i="5" s="1"/>
  <c r="O7" i="5"/>
  <c r="O20" i="5" s="1"/>
  <c r="N7" i="5"/>
  <c r="N20" i="5" s="1"/>
  <c r="M7" i="5"/>
  <c r="M20" i="5" s="1"/>
  <c r="L7" i="5"/>
  <c r="L20" i="5" s="1"/>
  <c r="K7" i="5"/>
  <c r="K20" i="5" s="1"/>
  <c r="J7" i="5"/>
  <c r="J20" i="5" s="1"/>
  <c r="I7" i="5"/>
  <c r="I20" i="5" s="1"/>
  <c r="H7" i="5"/>
  <c r="H20" i="5" s="1"/>
  <c r="G7" i="5"/>
  <c r="F7" i="5"/>
  <c r="F20" i="5" s="1"/>
  <c r="E7" i="5"/>
  <c r="E20" i="5" s="1"/>
  <c r="D7" i="5"/>
  <c r="D20" i="5" s="1"/>
  <c r="C7" i="5"/>
  <c r="E66" i="5" s="1"/>
  <c r="B7" i="5"/>
  <c r="D66" i="5" s="1"/>
  <c r="AA6" i="5"/>
  <c r="F68" i="5" s="1"/>
  <c r="Z6" i="5"/>
  <c r="Z19" i="5" s="1"/>
  <c r="Y6" i="5"/>
  <c r="Y19" i="5" s="1"/>
  <c r="X6" i="5"/>
  <c r="X19" i="5" s="1"/>
  <c r="W6" i="5"/>
  <c r="W19" i="5" s="1"/>
  <c r="V6" i="5"/>
  <c r="V19" i="5" s="1"/>
  <c r="U6" i="5"/>
  <c r="U19" i="5" s="1"/>
  <c r="T6" i="5"/>
  <c r="T19" i="5" s="1"/>
  <c r="S6" i="5"/>
  <c r="S19" i="5" s="1"/>
  <c r="R6" i="5"/>
  <c r="R19" i="5" s="1"/>
  <c r="Q6" i="5"/>
  <c r="P6" i="5"/>
  <c r="P19" i="5" s="1"/>
  <c r="O6" i="5"/>
  <c r="O19" i="5" s="1"/>
  <c r="N6" i="5"/>
  <c r="N19" i="5" s="1"/>
  <c r="M6" i="5"/>
  <c r="M19" i="5" s="1"/>
  <c r="L6" i="5"/>
  <c r="L19" i="5" s="1"/>
  <c r="K6" i="5"/>
  <c r="K19" i="5" s="1"/>
  <c r="J6" i="5"/>
  <c r="J19" i="5" s="1"/>
  <c r="I6" i="5"/>
  <c r="I19" i="5" s="1"/>
  <c r="H6" i="5"/>
  <c r="H19" i="5" s="1"/>
  <c r="G6" i="5"/>
  <c r="F6" i="5"/>
  <c r="F19" i="5" s="1"/>
  <c r="E6" i="5"/>
  <c r="E19" i="5" s="1"/>
  <c r="D6" i="5"/>
  <c r="D19" i="5" s="1"/>
  <c r="C6" i="5"/>
  <c r="E68" i="5" s="1"/>
  <c r="B6" i="5"/>
  <c r="D68" i="5" s="1"/>
  <c r="AA5" i="5"/>
  <c r="AA18" i="5" s="1"/>
  <c r="G72" i="5" s="1"/>
  <c r="Z5" i="5"/>
  <c r="Z18" i="5" s="1"/>
  <c r="Y5" i="5"/>
  <c r="Y18" i="5" s="1"/>
  <c r="X5" i="5"/>
  <c r="X18" i="5" s="1"/>
  <c r="W5" i="5"/>
  <c r="W18" i="5" s="1"/>
  <c r="V5" i="5"/>
  <c r="V18" i="5" s="1"/>
  <c r="U5" i="5"/>
  <c r="U18" i="5" s="1"/>
  <c r="T5" i="5"/>
  <c r="T18" i="5" s="1"/>
  <c r="S5" i="5"/>
  <c r="S18" i="5" s="1"/>
  <c r="R5" i="5"/>
  <c r="R18" i="5" s="1"/>
  <c r="Q5" i="5"/>
  <c r="Q18" i="5" s="1"/>
  <c r="P5" i="5"/>
  <c r="P18" i="5" s="1"/>
  <c r="O5" i="5"/>
  <c r="O18" i="5" s="1"/>
  <c r="N5" i="5"/>
  <c r="N18" i="5" s="1"/>
  <c r="M5" i="5"/>
  <c r="M18" i="5" s="1"/>
  <c r="L5" i="5"/>
  <c r="L18" i="5" s="1"/>
  <c r="K5" i="5"/>
  <c r="K18" i="5" s="1"/>
  <c r="J5" i="5"/>
  <c r="J18" i="5" s="1"/>
  <c r="I5" i="5"/>
  <c r="I18" i="5" s="1"/>
  <c r="H5" i="5"/>
  <c r="H18" i="5" s="1"/>
  <c r="G5" i="5"/>
  <c r="G18" i="5" s="1"/>
  <c r="F5" i="5"/>
  <c r="F18" i="5" s="1"/>
  <c r="E5" i="5"/>
  <c r="E18" i="5" s="1"/>
  <c r="D5" i="5"/>
  <c r="D18" i="5" s="1"/>
  <c r="B5" i="5"/>
  <c r="D72" i="5" s="1"/>
  <c r="Z4" i="5"/>
  <c r="Z17" i="5" s="1"/>
  <c r="Y4" i="5"/>
  <c r="Y17" i="5" s="1"/>
  <c r="X4" i="5"/>
  <c r="X17" i="5" s="1"/>
  <c r="W4" i="5"/>
  <c r="W17" i="5" s="1"/>
  <c r="V4" i="5"/>
  <c r="V17" i="5" s="1"/>
  <c r="U4" i="5"/>
  <c r="U17" i="5" s="1"/>
  <c r="T4" i="5"/>
  <c r="S4" i="5"/>
  <c r="S17" i="5" s="1"/>
  <c r="R4" i="5"/>
  <c r="R17" i="5" s="1"/>
  <c r="Q4" i="5"/>
  <c r="Q17" i="5" s="1"/>
  <c r="P4" i="5"/>
  <c r="P17" i="5" s="1"/>
  <c r="O4" i="5"/>
  <c r="O17" i="5" s="1"/>
  <c r="N4" i="5"/>
  <c r="N17" i="5" s="1"/>
  <c r="M4" i="5"/>
  <c r="M17" i="5" s="1"/>
  <c r="L4" i="5"/>
  <c r="L17" i="5" s="1"/>
  <c r="K4" i="5"/>
  <c r="K17" i="5" s="1"/>
  <c r="J4" i="5"/>
  <c r="I4" i="5"/>
  <c r="I17" i="5" s="1"/>
  <c r="H4" i="5"/>
  <c r="H17" i="5" s="1"/>
  <c r="G4" i="5"/>
  <c r="G17" i="5" s="1"/>
  <c r="F4" i="5"/>
  <c r="F17" i="5" s="1"/>
  <c r="E4" i="5"/>
  <c r="E17" i="5" s="1"/>
  <c r="D4" i="5"/>
  <c r="D17" i="5" s="1"/>
  <c r="C4" i="5"/>
  <c r="C17" i="5" s="1"/>
  <c r="AT13" i="4"/>
  <c r="AT13" i="5" s="1"/>
  <c r="AS13" i="4"/>
  <c r="AS13" i="5" s="1"/>
  <c r="AS26" i="5" s="1"/>
  <c r="AR13" i="4"/>
  <c r="AR13" i="5" s="1"/>
  <c r="AR26" i="5" s="1"/>
  <c r="AQ13" i="4"/>
  <c r="AQ13" i="5" s="1"/>
  <c r="AQ26" i="5" s="1"/>
  <c r="AP13" i="4"/>
  <c r="AP13" i="5" s="1"/>
  <c r="AP26" i="5" s="1"/>
  <c r="AO13" i="4"/>
  <c r="AO13" i="5" s="1"/>
  <c r="AO26" i="5" s="1"/>
  <c r="AN13" i="4"/>
  <c r="AN13" i="5" s="1"/>
  <c r="AN26" i="5" s="1"/>
  <c r="AM13" i="4"/>
  <c r="AM13" i="5" s="1"/>
  <c r="AM26" i="5" s="1"/>
  <c r="AL13" i="4"/>
  <c r="AL13" i="5" s="1"/>
  <c r="AL26" i="5" s="1"/>
  <c r="AK13" i="4"/>
  <c r="AK13" i="5" s="1"/>
  <c r="AK26" i="5" s="1"/>
  <c r="AJ13" i="4"/>
  <c r="AI13" i="4"/>
  <c r="AI13" i="5" s="1"/>
  <c r="AI26" i="5" s="1"/>
  <c r="AH13" i="4"/>
  <c r="AH13" i="5" s="1"/>
  <c r="AH26" i="5" s="1"/>
  <c r="AG13" i="4"/>
  <c r="AG13" i="5" s="1"/>
  <c r="AG26" i="5" s="1"/>
  <c r="AF13" i="4"/>
  <c r="AF13" i="5" s="1"/>
  <c r="AF26" i="5" s="1"/>
  <c r="AE13" i="4"/>
  <c r="AE13" i="5" s="1"/>
  <c r="AE26" i="5" s="1"/>
  <c r="AT12" i="4"/>
  <c r="AT12" i="5" s="1"/>
  <c r="AS12" i="4"/>
  <c r="AS12" i="5" s="1"/>
  <c r="AS25" i="5" s="1"/>
  <c r="AR12" i="4"/>
  <c r="AR12" i="5" s="1"/>
  <c r="AR25" i="5" s="1"/>
  <c r="AQ12" i="4"/>
  <c r="AQ12" i="5" s="1"/>
  <c r="AQ25" i="5" s="1"/>
  <c r="AP12" i="4"/>
  <c r="AP12" i="5" s="1"/>
  <c r="AP25" i="5" s="1"/>
  <c r="AO12" i="4"/>
  <c r="AO12" i="5" s="1"/>
  <c r="AO25" i="5" s="1"/>
  <c r="AN12" i="4"/>
  <c r="AN12" i="5" s="1"/>
  <c r="AN25" i="5" s="1"/>
  <c r="AM12" i="4"/>
  <c r="AM12" i="5" s="1"/>
  <c r="AM25" i="5" s="1"/>
  <c r="AL12" i="4"/>
  <c r="AL12" i="5" s="1"/>
  <c r="AL25" i="5" s="1"/>
  <c r="AK12" i="4"/>
  <c r="AK12" i="5" s="1"/>
  <c r="AK25" i="5" s="1"/>
  <c r="AJ12" i="4"/>
  <c r="AJ12" i="5" s="1"/>
  <c r="AJ25" i="5" s="1"/>
  <c r="AI12" i="4"/>
  <c r="AI12" i="5" s="1"/>
  <c r="AI25" i="5" s="1"/>
  <c r="AH12" i="4"/>
  <c r="AH12" i="5" s="1"/>
  <c r="AH25" i="5" s="1"/>
  <c r="AG12" i="4"/>
  <c r="AG12" i="5" s="1"/>
  <c r="AG25" i="5" s="1"/>
  <c r="AF12" i="4"/>
  <c r="AF12" i="5" s="1"/>
  <c r="AF25" i="5" s="1"/>
  <c r="AE12" i="4"/>
  <c r="AE12" i="5" s="1"/>
  <c r="AE25" i="5" s="1"/>
  <c r="AT11" i="4"/>
  <c r="AT11" i="5" s="1"/>
  <c r="AS11" i="4"/>
  <c r="AS11" i="5" s="1"/>
  <c r="AS24" i="5" s="1"/>
  <c r="AR11" i="4"/>
  <c r="AR11" i="5" s="1"/>
  <c r="AR24" i="5" s="1"/>
  <c r="AQ11" i="4"/>
  <c r="AQ11" i="5" s="1"/>
  <c r="AQ24" i="5" s="1"/>
  <c r="AP11" i="4"/>
  <c r="AP11" i="5" s="1"/>
  <c r="AP24" i="5" s="1"/>
  <c r="AO11" i="4"/>
  <c r="AO11" i="5" s="1"/>
  <c r="AO24" i="5" s="1"/>
  <c r="AN11" i="4"/>
  <c r="AN11" i="5" s="1"/>
  <c r="AN24" i="5" s="1"/>
  <c r="AM11" i="4"/>
  <c r="AM11" i="5" s="1"/>
  <c r="AM24" i="5" s="1"/>
  <c r="AL11" i="4"/>
  <c r="AL11" i="5" s="1"/>
  <c r="AL24" i="5" s="1"/>
  <c r="AK11" i="4"/>
  <c r="AK11" i="5" s="1"/>
  <c r="AK24" i="5" s="1"/>
  <c r="AJ11" i="4"/>
  <c r="AJ11" i="5" s="1"/>
  <c r="AJ24" i="5" s="1"/>
  <c r="AI11" i="4"/>
  <c r="AI11" i="5" s="1"/>
  <c r="AI24" i="5" s="1"/>
  <c r="AH11" i="4"/>
  <c r="AH11" i="5" s="1"/>
  <c r="AH24" i="5" s="1"/>
  <c r="AG11" i="4"/>
  <c r="AG11" i="5" s="1"/>
  <c r="AG24" i="5" s="1"/>
  <c r="AF11" i="4"/>
  <c r="AF11" i="5" s="1"/>
  <c r="AF24" i="5" s="1"/>
  <c r="AE11" i="4"/>
  <c r="AE11" i="5" s="1"/>
  <c r="AE24" i="5" s="1"/>
  <c r="AT10" i="4"/>
  <c r="AT10" i="5" s="1"/>
  <c r="AS10" i="4"/>
  <c r="AS10" i="5" s="1"/>
  <c r="AS23" i="5" s="1"/>
  <c r="AR10" i="4"/>
  <c r="AR10" i="5" s="1"/>
  <c r="AR23" i="5" s="1"/>
  <c r="AQ10" i="4"/>
  <c r="AQ10" i="5" s="1"/>
  <c r="AQ23" i="5" s="1"/>
  <c r="AP10" i="4"/>
  <c r="AP10" i="5" s="1"/>
  <c r="AP23" i="5" s="1"/>
  <c r="AO10" i="4"/>
  <c r="AO10" i="5" s="1"/>
  <c r="AO23" i="5" s="1"/>
  <c r="AN10" i="4"/>
  <c r="AN10" i="5" s="1"/>
  <c r="AN23" i="5" s="1"/>
  <c r="AM10" i="4"/>
  <c r="AM10" i="5" s="1"/>
  <c r="AM23" i="5" s="1"/>
  <c r="AL10" i="4"/>
  <c r="AL10" i="5" s="1"/>
  <c r="AL23" i="5" s="1"/>
  <c r="AK10" i="4"/>
  <c r="AK10" i="5" s="1"/>
  <c r="AK23" i="5" s="1"/>
  <c r="AJ10" i="4"/>
  <c r="AJ10" i="5" s="1"/>
  <c r="AJ23" i="5" s="1"/>
  <c r="AI10" i="4"/>
  <c r="AI10" i="5" s="1"/>
  <c r="AI23" i="5" s="1"/>
  <c r="AH10" i="4"/>
  <c r="AH10" i="5" s="1"/>
  <c r="AH23" i="5" s="1"/>
  <c r="AG10" i="4"/>
  <c r="AG10" i="5" s="1"/>
  <c r="AG23" i="5" s="1"/>
  <c r="AF10" i="4"/>
  <c r="AF10" i="5" s="1"/>
  <c r="AF23" i="5" s="1"/>
  <c r="AE10" i="4"/>
  <c r="AE10" i="5" s="1"/>
  <c r="AE23" i="5" s="1"/>
  <c r="AT9" i="4"/>
  <c r="AT9" i="5" s="1"/>
  <c r="AS9" i="4"/>
  <c r="AS9" i="5" s="1"/>
  <c r="AS22" i="5" s="1"/>
  <c r="AR9" i="4"/>
  <c r="AR9" i="5" s="1"/>
  <c r="AR22" i="5" s="1"/>
  <c r="AQ9" i="4"/>
  <c r="AQ9" i="5" s="1"/>
  <c r="AQ22" i="5" s="1"/>
  <c r="AP9" i="4"/>
  <c r="AP9" i="5" s="1"/>
  <c r="AP22" i="5" s="1"/>
  <c r="AO9" i="4"/>
  <c r="AO9" i="5" s="1"/>
  <c r="AO22" i="5" s="1"/>
  <c r="AN9" i="4"/>
  <c r="AN9" i="5" s="1"/>
  <c r="AN22" i="5" s="1"/>
  <c r="AM9" i="4"/>
  <c r="AM9" i="5" s="1"/>
  <c r="AM22" i="5" s="1"/>
  <c r="AL9" i="4"/>
  <c r="AL9" i="5" s="1"/>
  <c r="AL22" i="5" s="1"/>
  <c r="AK9" i="4"/>
  <c r="AK9" i="5" s="1"/>
  <c r="AK22" i="5" s="1"/>
  <c r="AJ9" i="4"/>
  <c r="AJ9" i="5" s="1"/>
  <c r="AJ22" i="5" s="1"/>
  <c r="AI9" i="4"/>
  <c r="AI9" i="5" s="1"/>
  <c r="AI22" i="5" s="1"/>
  <c r="AH9" i="4"/>
  <c r="AH9" i="5" s="1"/>
  <c r="AH22" i="5" s="1"/>
  <c r="AG9" i="4"/>
  <c r="AG9" i="5" s="1"/>
  <c r="AG22" i="5" s="1"/>
  <c r="AF9" i="4"/>
  <c r="AF9" i="5" s="1"/>
  <c r="AF22" i="5" s="1"/>
  <c r="AE9" i="4"/>
  <c r="AE9" i="5" s="1"/>
  <c r="AE22" i="5" s="1"/>
  <c r="AT8" i="4"/>
  <c r="AT8" i="5" s="1"/>
  <c r="AS8" i="4"/>
  <c r="AS8" i="5" s="1"/>
  <c r="AS21" i="5" s="1"/>
  <c r="AR8" i="4"/>
  <c r="AR8" i="5" s="1"/>
  <c r="AR21" i="5" s="1"/>
  <c r="AQ8" i="4"/>
  <c r="AQ8" i="5" s="1"/>
  <c r="AQ21" i="5" s="1"/>
  <c r="AP8" i="4"/>
  <c r="AP8" i="5" s="1"/>
  <c r="AP21" i="5" s="1"/>
  <c r="AO8" i="4"/>
  <c r="AO8" i="5" s="1"/>
  <c r="AO21" i="5" s="1"/>
  <c r="AN8" i="4"/>
  <c r="AN8" i="5" s="1"/>
  <c r="AN21" i="5" s="1"/>
  <c r="AM8" i="4"/>
  <c r="AM8" i="5" s="1"/>
  <c r="AM21" i="5" s="1"/>
  <c r="AL8" i="4"/>
  <c r="AL8" i="5" s="1"/>
  <c r="AL21" i="5" s="1"/>
  <c r="AK8" i="4"/>
  <c r="AK8" i="5" s="1"/>
  <c r="AK21" i="5" s="1"/>
  <c r="AJ8" i="4"/>
  <c r="AJ8" i="5" s="1"/>
  <c r="AJ21" i="5" s="1"/>
  <c r="AI8" i="4"/>
  <c r="AI8" i="5" s="1"/>
  <c r="AI21" i="5" s="1"/>
  <c r="AH8" i="4"/>
  <c r="AH8" i="5" s="1"/>
  <c r="AH21" i="5" s="1"/>
  <c r="AG8" i="4"/>
  <c r="AG8" i="5" s="1"/>
  <c r="AG21" i="5" s="1"/>
  <c r="AF8" i="4"/>
  <c r="AF8" i="5" s="1"/>
  <c r="AF21" i="5" s="1"/>
  <c r="AE8" i="4"/>
  <c r="AE8" i="5" s="1"/>
  <c r="AE21" i="5" s="1"/>
  <c r="AT7" i="4"/>
  <c r="AT7" i="5" s="1"/>
  <c r="AS7" i="4"/>
  <c r="AS7" i="5" s="1"/>
  <c r="AS20" i="5" s="1"/>
  <c r="AR7" i="4"/>
  <c r="AQ7" i="4"/>
  <c r="AQ7" i="5" s="1"/>
  <c r="AQ20" i="5" s="1"/>
  <c r="AP7" i="4"/>
  <c r="AP7" i="5" s="1"/>
  <c r="AP20" i="5" s="1"/>
  <c r="AO7" i="4"/>
  <c r="AO7" i="5" s="1"/>
  <c r="AO20" i="5" s="1"/>
  <c r="AN7" i="4"/>
  <c r="AN7" i="5" s="1"/>
  <c r="AN20" i="5" s="1"/>
  <c r="AM7" i="4"/>
  <c r="AM7" i="5" s="1"/>
  <c r="AM20" i="5" s="1"/>
  <c r="AL7" i="4"/>
  <c r="AL7" i="5" s="1"/>
  <c r="AL20" i="5" s="1"/>
  <c r="AK7" i="4"/>
  <c r="AK7" i="5" s="1"/>
  <c r="AK20" i="5" s="1"/>
  <c r="AJ7" i="4"/>
  <c r="AJ7" i="5" s="1"/>
  <c r="AJ20" i="5" s="1"/>
  <c r="AI7" i="4"/>
  <c r="AI7" i="5" s="1"/>
  <c r="AI20" i="5" s="1"/>
  <c r="AH7" i="4"/>
  <c r="AH7" i="5" s="1"/>
  <c r="AH20" i="5" s="1"/>
  <c r="AG7" i="4"/>
  <c r="AG7" i="5" s="1"/>
  <c r="AG20" i="5" s="1"/>
  <c r="AF7" i="4"/>
  <c r="AF7" i="5" s="1"/>
  <c r="AF20" i="5" s="1"/>
  <c r="AE7" i="4"/>
  <c r="AE7" i="5" s="1"/>
  <c r="AE20" i="5" s="1"/>
  <c r="AT6" i="4"/>
  <c r="AT6" i="5" s="1"/>
  <c r="AS6" i="4"/>
  <c r="AS6" i="5" s="1"/>
  <c r="AS19" i="5" s="1"/>
  <c r="AR6" i="4"/>
  <c r="AR6" i="5" s="1"/>
  <c r="AR19" i="5" s="1"/>
  <c r="AQ6" i="4"/>
  <c r="AQ6" i="5" s="1"/>
  <c r="AQ19" i="5" s="1"/>
  <c r="AP6" i="4"/>
  <c r="AP6" i="5" s="1"/>
  <c r="AP19" i="5" s="1"/>
  <c r="AO6" i="4"/>
  <c r="AO6" i="5" s="1"/>
  <c r="AO19" i="5" s="1"/>
  <c r="AN6" i="4"/>
  <c r="AN6" i="5" s="1"/>
  <c r="AN19" i="5" s="1"/>
  <c r="AM6" i="4"/>
  <c r="AM6" i="5" s="1"/>
  <c r="AM19" i="5" s="1"/>
  <c r="AL6" i="4"/>
  <c r="AL6" i="5" s="1"/>
  <c r="AL19" i="5" s="1"/>
  <c r="AK6" i="4"/>
  <c r="AK6" i="5" s="1"/>
  <c r="AK19" i="5" s="1"/>
  <c r="AJ6" i="4"/>
  <c r="AJ6" i="5" s="1"/>
  <c r="AJ19" i="5" s="1"/>
  <c r="AI6" i="4"/>
  <c r="AI6" i="5" s="1"/>
  <c r="AI19" i="5" s="1"/>
  <c r="AH6" i="4"/>
  <c r="AH6" i="5" s="1"/>
  <c r="AH19" i="5" s="1"/>
  <c r="AG6" i="4"/>
  <c r="AG6" i="5" s="1"/>
  <c r="AG19" i="5" s="1"/>
  <c r="AF6" i="4"/>
  <c r="AF6" i="5" s="1"/>
  <c r="AF19" i="5" s="1"/>
  <c r="AE6" i="4"/>
  <c r="AE6" i="5" s="1"/>
  <c r="AE19" i="5" s="1"/>
  <c r="AT5" i="4"/>
  <c r="AT5" i="5" s="1"/>
  <c r="AS5" i="4"/>
  <c r="AS5" i="5" s="1"/>
  <c r="AS18" i="5" s="1"/>
  <c r="AR5" i="4"/>
  <c r="AR5" i="5" s="1"/>
  <c r="AR18" i="5" s="1"/>
  <c r="AQ5" i="4"/>
  <c r="AQ5" i="5" s="1"/>
  <c r="AQ18" i="5" s="1"/>
  <c r="AP5" i="4"/>
  <c r="AP5" i="5" s="1"/>
  <c r="AP18" i="5" s="1"/>
  <c r="AO5" i="4"/>
  <c r="AO5" i="5" s="1"/>
  <c r="AO18" i="5" s="1"/>
  <c r="AN5" i="4"/>
  <c r="AN5" i="5" s="1"/>
  <c r="AN18" i="5" s="1"/>
  <c r="AM5" i="4"/>
  <c r="AM5" i="5" s="1"/>
  <c r="AM18" i="5" s="1"/>
  <c r="AL5" i="4"/>
  <c r="AL5" i="5" s="1"/>
  <c r="AL18" i="5" s="1"/>
  <c r="AK5" i="4"/>
  <c r="AK5" i="5" s="1"/>
  <c r="AK18" i="5" s="1"/>
  <c r="AJ5" i="4"/>
  <c r="AJ5" i="5" s="1"/>
  <c r="AJ18" i="5" s="1"/>
  <c r="AI5" i="4"/>
  <c r="AI5" i="5" s="1"/>
  <c r="AI18" i="5" s="1"/>
  <c r="AH5" i="4"/>
  <c r="AH5" i="5" s="1"/>
  <c r="AH18" i="5" s="1"/>
  <c r="AG5" i="4"/>
  <c r="AG5" i="5" s="1"/>
  <c r="AG18" i="5" s="1"/>
  <c r="AF5" i="4"/>
  <c r="AF5" i="5" s="1"/>
  <c r="AF18" i="5" s="1"/>
  <c r="AE5" i="4"/>
  <c r="AE5" i="5" s="1"/>
  <c r="AE18" i="5" s="1"/>
  <c r="H58" i="3"/>
  <c r="B58" i="3"/>
  <c r="H57" i="3"/>
  <c r="B57" i="3"/>
  <c r="H56" i="3"/>
  <c r="B56" i="3"/>
  <c r="H55" i="3"/>
  <c r="B55" i="3"/>
  <c r="H54" i="3"/>
  <c r="B54" i="3"/>
  <c r="H53" i="3"/>
  <c r="B53" i="3"/>
  <c r="H52" i="3"/>
  <c r="B52" i="3"/>
  <c r="H51" i="3"/>
  <c r="B51" i="3"/>
  <c r="H50" i="3"/>
  <c r="B50" i="3"/>
  <c r="H49" i="3"/>
  <c r="B49" i="3"/>
  <c r="H48" i="3"/>
  <c r="B48" i="3"/>
  <c r="H47" i="3"/>
  <c r="B47" i="3"/>
  <c r="H46" i="3"/>
  <c r="B46" i="3"/>
  <c r="H45" i="3"/>
  <c r="B45" i="3"/>
  <c r="H44" i="3"/>
  <c r="B44" i="3"/>
  <c r="B38" i="3"/>
  <c r="B37" i="3"/>
  <c r="C36" i="3"/>
  <c r="B36" i="3"/>
  <c r="C35" i="3"/>
  <c r="B35" i="3"/>
  <c r="B34" i="3"/>
  <c r="B33" i="3"/>
  <c r="B32" i="3"/>
  <c r="B31" i="3"/>
  <c r="C30" i="3"/>
  <c r="B30" i="3"/>
  <c r="B29" i="3"/>
  <c r="B28" i="3"/>
  <c r="B27" i="3"/>
  <c r="B26" i="3"/>
  <c r="C25" i="3"/>
  <c r="B25" i="3"/>
  <c r="B24" i="3"/>
  <c r="B22" i="3"/>
  <c r="D18" i="3"/>
  <c r="C38" i="3" s="1"/>
  <c r="C18" i="3"/>
  <c r="D17" i="3"/>
  <c r="C37" i="3" s="1"/>
  <c r="C17" i="3"/>
  <c r="D16" i="3"/>
  <c r="C16" i="3"/>
  <c r="D15" i="3"/>
  <c r="C15" i="3"/>
  <c r="D14" i="3"/>
  <c r="C34" i="3" s="1"/>
  <c r="C14" i="3"/>
  <c r="D13" i="3"/>
  <c r="C33" i="3" s="1"/>
  <c r="C13" i="3"/>
  <c r="D12" i="3"/>
  <c r="C32" i="3" s="1"/>
  <c r="C12" i="3"/>
  <c r="D11" i="3"/>
  <c r="C31" i="3" s="1"/>
  <c r="C11" i="3"/>
  <c r="D10" i="3"/>
  <c r="C10" i="3"/>
  <c r="D9" i="3"/>
  <c r="C29" i="3" s="1"/>
  <c r="C9" i="3"/>
  <c r="D8" i="3"/>
  <c r="C28" i="3" s="1"/>
  <c r="C8" i="3"/>
  <c r="D7" i="3"/>
  <c r="C27" i="3" s="1"/>
  <c r="C7" i="3"/>
  <c r="D6" i="3"/>
  <c r="C26" i="3" s="1"/>
  <c r="C6" i="3"/>
  <c r="D5" i="3"/>
  <c r="C5" i="3"/>
  <c r="D4" i="3"/>
  <c r="C24" i="3" s="1"/>
  <c r="C4" i="3"/>
  <c r="B3" i="3"/>
  <c r="E2" i="3"/>
  <c r="K36" i="2"/>
  <c r="K35" i="2"/>
  <c r="I35" i="2"/>
  <c r="R34" i="2"/>
  <c r="R33" i="2"/>
  <c r="M33" i="2"/>
  <c r="R32" i="2"/>
  <c r="F32" i="2"/>
  <c r="R31" i="2"/>
  <c r="M31" i="2"/>
  <c r="I31" i="2"/>
  <c r="R28" i="2"/>
  <c r="H28" i="2"/>
  <c r="F28" i="2"/>
  <c r="F24" i="2"/>
  <c r="I21" i="2"/>
  <c r="J19" i="2"/>
  <c r="I19" i="2"/>
  <c r="H19" i="2"/>
  <c r="G19" i="2"/>
  <c r="F19" i="2"/>
  <c r="E19" i="2"/>
  <c r="E36" i="2" s="1"/>
  <c r="D19" i="2"/>
  <c r="C19" i="2"/>
  <c r="H36" i="2" s="1"/>
  <c r="B19" i="2"/>
  <c r="B18" i="3" s="1"/>
  <c r="J18" i="2"/>
  <c r="I18" i="2"/>
  <c r="H18" i="2"/>
  <c r="G18" i="2"/>
  <c r="F18" i="2"/>
  <c r="F35" i="2" s="1"/>
  <c r="E18" i="2"/>
  <c r="D18" i="2"/>
  <c r="C18" i="2"/>
  <c r="G35" i="2" s="1"/>
  <c r="B18" i="2"/>
  <c r="B17" i="3" s="1"/>
  <c r="Q17" i="2"/>
  <c r="Q34" i="2" s="1"/>
  <c r="P17" i="2"/>
  <c r="O17" i="2"/>
  <c r="N17" i="2"/>
  <c r="M17" i="2"/>
  <c r="L17" i="2"/>
  <c r="L34" i="2" s="1"/>
  <c r="K17" i="2"/>
  <c r="K34" i="2" s="1"/>
  <c r="J17" i="2"/>
  <c r="I17" i="2"/>
  <c r="I34" i="2" s="1"/>
  <c r="H17" i="2"/>
  <c r="H34" i="2" s="1"/>
  <c r="G17" i="2"/>
  <c r="G34" i="2" s="1"/>
  <c r="F17" i="2"/>
  <c r="E17" i="2"/>
  <c r="E34" i="2" s="1"/>
  <c r="D17" i="2"/>
  <c r="C17" i="2"/>
  <c r="B17" i="2"/>
  <c r="B16" i="3" s="1"/>
  <c r="S2" i="3" s="1"/>
  <c r="Q16" i="2"/>
  <c r="P16" i="2"/>
  <c r="P33" i="2" s="1"/>
  <c r="O16" i="2"/>
  <c r="O33" i="2" s="1"/>
  <c r="N16" i="2"/>
  <c r="M16" i="2"/>
  <c r="L16" i="2"/>
  <c r="K16" i="2"/>
  <c r="J16" i="2"/>
  <c r="I16" i="2"/>
  <c r="I33" i="2" s="1"/>
  <c r="H16" i="2"/>
  <c r="G16" i="2"/>
  <c r="F16" i="2"/>
  <c r="F33" i="2" s="1"/>
  <c r="E16" i="2"/>
  <c r="E33" i="2" s="1"/>
  <c r="D16" i="2"/>
  <c r="C16" i="2"/>
  <c r="S16" i="2" s="1"/>
  <c r="B16" i="2"/>
  <c r="B15" i="3" s="1"/>
  <c r="R2" i="3" s="1"/>
  <c r="Q15" i="2"/>
  <c r="P15" i="2"/>
  <c r="P32" i="2" s="1"/>
  <c r="O15" i="2"/>
  <c r="O32" i="2" s="1"/>
  <c r="N15" i="2"/>
  <c r="N32" i="2" s="1"/>
  <c r="M15" i="2"/>
  <c r="L15" i="2"/>
  <c r="L32" i="2" s="1"/>
  <c r="K15" i="2"/>
  <c r="K32" i="2" s="1"/>
  <c r="J15" i="2"/>
  <c r="J32" i="2" s="1"/>
  <c r="I15" i="2"/>
  <c r="I32" i="2" s="1"/>
  <c r="H15" i="2"/>
  <c r="H32" i="2" s="1"/>
  <c r="G15" i="2"/>
  <c r="G32" i="2" s="1"/>
  <c r="F15" i="2"/>
  <c r="E15" i="2"/>
  <c r="E32" i="2" s="1"/>
  <c r="D15" i="2"/>
  <c r="D32" i="2" s="1"/>
  <c r="C15" i="2"/>
  <c r="S15" i="2" s="1"/>
  <c r="B15" i="2"/>
  <c r="B14" i="3" s="1"/>
  <c r="Q2" i="3" s="1"/>
  <c r="S14" i="2"/>
  <c r="Q14" i="2"/>
  <c r="P14" i="2"/>
  <c r="P31" i="2" s="1"/>
  <c r="O14" i="2"/>
  <c r="O31" i="2" s="1"/>
  <c r="N14" i="2"/>
  <c r="N31" i="2" s="1"/>
  <c r="M14" i="2"/>
  <c r="L14" i="2"/>
  <c r="L31" i="2" s="1"/>
  <c r="K14" i="2"/>
  <c r="K31" i="2" s="1"/>
  <c r="J14" i="2"/>
  <c r="J31" i="2" s="1"/>
  <c r="I14" i="2"/>
  <c r="H14" i="2"/>
  <c r="H31" i="2" s="1"/>
  <c r="G14" i="2"/>
  <c r="F14" i="2"/>
  <c r="F31" i="2" s="1"/>
  <c r="E14" i="2"/>
  <c r="E31" i="2" s="1"/>
  <c r="D14" i="2"/>
  <c r="D31" i="2" s="1"/>
  <c r="C14" i="2"/>
  <c r="B14" i="2"/>
  <c r="B13" i="3" s="1"/>
  <c r="P2" i="3" s="1"/>
  <c r="R13" i="2"/>
  <c r="R30" i="2" s="1"/>
  <c r="Q13" i="2"/>
  <c r="Q30" i="2" s="1"/>
  <c r="P13" i="2"/>
  <c r="P30" i="2" s="1"/>
  <c r="O13" i="2"/>
  <c r="N13" i="2"/>
  <c r="N30" i="2" s="1"/>
  <c r="M13" i="2"/>
  <c r="M30" i="2" s="1"/>
  <c r="L13" i="2"/>
  <c r="K13" i="2"/>
  <c r="J13" i="2"/>
  <c r="J30" i="2" s="1"/>
  <c r="I13" i="2"/>
  <c r="H13" i="2"/>
  <c r="H30" i="2" s="1"/>
  <c r="G13" i="2"/>
  <c r="G30" i="2" s="1"/>
  <c r="F13" i="2"/>
  <c r="F30" i="2" s="1"/>
  <c r="E13" i="2"/>
  <c r="D13" i="2"/>
  <c r="D30" i="2" s="1"/>
  <c r="C13" i="2"/>
  <c r="S13" i="2" s="1"/>
  <c r="B13" i="2"/>
  <c r="B12" i="3" s="1"/>
  <c r="O2" i="3" s="1"/>
  <c r="R12" i="2"/>
  <c r="Q12" i="2"/>
  <c r="P12" i="2"/>
  <c r="O12" i="2"/>
  <c r="N12" i="2"/>
  <c r="M12" i="2"/>
  <c r="M29" i="2" s="1"/>
  <c r="L12" i="2"/>
  <c r="K12" i="2"/>
  <c r="J12" i="2"/>
  <c r="I12" i="2"/>
  <c r="I29" i="2" s="1"/>
  <c r="H12" i="2"/>
  <c r="G12" i="2"/>
  <c r="F12" i="2"/>
  <c r="E12" i="2"/>
  <c r="D12" i="2"/>
  <c r="C12" i="2"/>
  <c r="B12" i="2"/>
  <c r="B11" i="3" s="1"/>
  <c r="N2" i="3" s="1"/>
  <c r="R11" i="2"/>
  <c r="Q11" i="2"/>
  <c r="Q28" i="2" s="1"/>
  <c r="P11" i="2"/>
  <c r="P28" i="2" s="1"/>
  <c r="O11" i="2"/>
  <c r="N11" i="2"/>
  <c r="N28" i="2" s="1"/>
  <c r="M11" i="2"/>
  <c r="L11" i="2"/>
  <c r="L28" i="2" s="1"/>
  <c r="K11" i="2"/>
  <c r="J11" i="2"/>
  <c r="J28" i="2" s="1"/>
  <c r="I11" i="2"/>
  <c r="H11" i="2"/>
  <c r="G11" i="2"/>
  <c r="G28" i="2" s="1"/>
  <c r="F11" i="2"/>
  <c r="E11" i="2"/>
  <c r="D11" i="2"/>
  <c r="D28" i="2" s="1"/>
  <c r="C11" i="2"/>
  <c r="B11" i="2"/>
  <c r="B10" i="3" s="1"/>
  <c r="M2" i="3" s="1"/>
  <c r="R10" i="2"/>
  <c r="R27" i="2" s="1"/>
  <c r="Q10" i="2"/>
  <c r="P10" i="2"/>
  <c r="P27" i="2" s="1"/>
  <c r="O10" i="2"/>
  <c r="O27" i="2" s="1"/>
  <c r="N10" i="2"/>
  <c r="M10" i="2"/>
  <c r="M27" i="2" s="1"/>
  <c r="L10" i="2"/>
  <c r="K10" i="2"/>
  <c r="K27" i="2" s="1"/>
  <c r="J10" i="2"/>
  <c r="I10" i="2"/>
  <c r="I27" i="2" s="1"/>
  <c r="H10" i="2"/>
  <c r="H27" i="2" s="1"/>
  <c r="G10" i="2"/>
  <c r="F10" i="2"/>
  <c r="F27" i="2" s="1"/>
  <c r="E10" i="2"/>
  <c r="E27" i="2" s="1"/>
  <c r="D10" i="2"/>
  <c r="D27" i="2" s="1"/>
  <c r="C10" i="2"/>
  <c r="B10" i="2"/>
  <c r="B9" i="3" s="1"/>
  <c r="L2" i="3" s="1"/>
  <c r="R9" i="2"/>
  <c r="R26" i="2" s="1"/>
  <c r="Q9" i="2"/>
  <c r="P9" i="2"/>
  <c r="O9" i="2"/>
  <c r="O26" i="2" s="1"/>
  <c r="N9" i="2"/>
  <c r="N26" i="2" s="1"/>
  <c r="M9" i="2"/>
  <c r="L9" i="2"/>
  <c r="L26" i="2" s="1"/>
  <c r="K9" i="2"/>
  <c r="J9" i="2"/>
  <c r="I9" i="2"/>
  <c r="H9" i="2"/>
  <c r="H26" i="2" s="1"/>
  <c r="G9" i="2"/>
  <c r="F9" i="2"/>
  <c r="E9" i="2"/>
  <c r="E26" i="2" s="1"/>
  <c r="D9" i="2"/>
  <c r="D26" i="2" s="1"/>
  <c r="C9" i="2"/>
  <c r="B9" i="2"/>
  <c r="B8" i="3" s="1"/>
  <c r="K2" i="3" s="1"/>
  <c r="R8" i="2"/>
  <c r="Q8" i="2"/>
  <c r="P8" i="2"/>
  <c r="P25" i="2" s="1"/>
  <c r="O8" i="2"/>
  <c r="N8" i="2"/>
  <c r="M8" i="2"/>
  <c r="M25" i="2" s="1"/>
  <c r="L8" i="2"/>
  <c r="L25" i="2" s="1"/>
  <c r="K8" i="2"/>
  <c r="J8" i="2"/>
  <c r="I8" i="2"/>
  <c r="I25" i="2" s="1"/>
  <c r="H8" i="2"/>
  <c r="G8" i="2"/>
  <c r="F8" i="2"/>
  <c r="F25" i="2" s="1"/>
  <c r="E8" i="2"/>
  <c r="D8" i="2"/>
  <c r="C8" i="2"/>
  <c r="S8" i="2" s="1"/>
  <c r="B8" i="2"/>
  <c r="B7" i="3" s="1"/>
  <c r="J2" i="3" s="1"/>
  <c r="R7" i="2"/>
  <c r="Q7" i="2"/>
  <c r="P7" i="2"/>
  <c r="P24" i="2" s="1"/>
  <c r="O7" i="2"/>
  <c r="N7" i="2"/>
  <c r="M7" i="2"/>
  <c r="M24" i="2" s="1"/>
  <c r="L7" i="2"/>
  <c r="K7" i="2"/>
  <c r="J7" i="2"/>
  <c r="I7" i="2"/>
  <c r="I24" i="2" s="1"/>
  <c r="H7" i="2"/>
  <c r="G7" i="2"/>
  <c r="F7" i="2"/>
  <c r="E7" i="2"/>
  <c r="D7" i="2"/>
  <c r="C7" i="2"/>
  <c r="R24" i="2" s="1"/>
  <c r="B7" i="2"/>
  <c r="B6" i="3" s="1"/>
  <c r="I2" i="3" s="1"/>
  <c r="R6" i="2"/>
  <c r="R23" i="2" s="1"/>
  <c r="Q6" i="2"/>
  <c r="Q23" i="2" s="1"/>
  <c r="P6" i="2"/>
  <c r="P23" i="2" s="1"/>
  <c r="O6" i="2"/>
  <c r="O23" i="2" s="1"/>
  <c r="N6" i="2"/>
  <c r="N23" i="2" s="1"/>
  <c r="M6" i="2"/>
  <c r="M23" i="2" s="1"/>
  <c r="L6" i="2"/>
  <c r="L23" i="2" s="1"/>
  <c r="K6" i="2"/>
  <c r="K23" i="2" s="1"/>
  <c r="J6" i="2"/>
  <c r="J23" i="2" s="1"/>
  <c r="I6" i="2"/>
  <c r="I23" i="2" s="1"/>
  <c r="H6" i="2"/>
  <c r="H23" i="2" s="1"/>
  <c r="G6" i="2"/>
  <c r="G23" i="2" s="1"/>
  <c r="F6" i="2"/>
  <c r="F23" i="2" s="1"/>
  <c r="E6" i="2"/>
  <c r="E23" i="2" s="1"/>
  <c r="D6" i="2"/>
  <c r="D23" i="2" s="1"/>
  <c r="C6" i="2"/>
  <c r="B6" i="2"/>
  <c r="B5" i="3" s="1"/>
  <c r="H2" i="3" s="1"/>
  <c r="R5" i="2"/>
  <c r="R22" i="2" s="1"/>
  <c r="Q5" i="2"/>
  <c r="P5" i="2"/>
  <c r="O5" i="2"/>
  <c r="N5" i="2"/>
  <c r="N22" i="2" s="1"/>
  <c r="M5" i="2"/>
  <c r="L5" i="2"/>
  <c r="K5" i="2"/>
  <c r="J5" i="2"/>
  <c r="I5" i="2"/>
  <c r="H5" i="2"/>
  <c r="H22" i="2" s="1"/>
  <c r="G5" i="2"/>
  <c r="F5" i="2"/>
  <c r="E5" i="2"/>
  <c r="D5" i="2"/>
  <c r="D22" i="2" s="1"/>
  <c r="C5" i="2"/>
  <c r="S5" i="2" s="1"/>
  <c r="B5" i="2"/>
  <c r="B4" i="3" s="1"/>
  <c r="G2" i="3" s="1"/>
  <c r="R4" i="2"/>
  <c r="R21" i="2" s="1"/>
  <c r="Q4" i="2"/>
  <c r="Q21" i="2" s="1"/>
  <c r="P4" i="2"/>
  <c r="P21" i="2" s="1"/>
  <c r="O4" i="2"/>
  <c r="O21" i="2" s="1"/>
  <c r="N4" i="2"/>
  <c r="N21" i="2" s="1"/>
  <c r="M4" i="2"/>
  <c r="M21" i="2" s="1"/>
  <c r="L4" i="2"/>
  <c r="L21" i="2" s="1"/>
  <c r="K4" i="2"/>
  <c r="K21" i="2" s="1"/>
  <c r="J4" i="2"/>
  <c r="J21" i="2" s="1"/>
  <c r="I4" i="2"/>
  <c r="H4" i="2"/>
  <c r="H21" i="2" s="1"/>
  <c r="G4" i="2"/>
  <c r="G21" i="2" s="1"/>
  <c r="F4" i="2"/>
  <c r="F21" i="2" s="1"/>
  <c r="E4" i="2"/>
  <c r="E21" i="2" s="1"/>
  <c r="D4" i="2"/>
  <c r="D21" i="2" s="1"/>
  <c r="C4" i="2"/>
  <c r="C21" i="2" s="1"/>
  <c r="U19" i="1"/>
  <c r="E18" i="3" s="1"/>
  <c r="U18" i="1"/>
  <c r="E17" i="3" s="1"/>
  <c r="D37" i="3"/>
  <c r="U17" i="1"/>
  <c r="E16" i="3" s="1"/>
  <c r="U16" i="1"/>
  <c r="E15" i="3" s="1"/>
  <c r="V15" i="1"/>
  <c r="U15" i="1"/>
  <c r="E14" i="3" s="1"/>
  <c r="U14" i="1"/>
  <c r="E13" i="3" s="1"/>
  <c r="U13" i="1"/>
  <c r="E12" i="3" s="1"/>
  <c r="D32" i="3"/>
  <c r="C52" i="3" s="1"/>
  <c r="V12" i="1"/>
  <c r="U12" i="1"/>
  <c r="E11" i="3" s="1"/>
  <c r="V11" i="1"/>
  <c r="U11" i="1"/>
  <c r="E10" i="3" s="1"/>
  <c r="V10" i="1"/>
  <c r="U10" i="1"/>
  <c r="E9" i="3" s="1"/>
  <c r="U9" i="1"/>
  <c r="E8" i="3" s="1"/>
  <c r="U8" i="1"/>
  <c r="E7" i="3" s="1"/>
  <c r="D27" i="3"/>
  <c r="D47" i="3" s="1"/>
  <c r="V7" i="1"/>
  <c r="U7" i="1"/>
  <c r="E6" i="3" s="1"/>
  <c r="V6" i="1"/>
  <c r="U6" i="1"/>
  <c r="E5" i="3" s="1"/>
  <c r="V5" i="1"/>
  <c r="U5" i="1"/>
  <c r="E4" i="3" s="1"/>
  <c r="M22" i="2" l="1"/>
  <c r="V18" i="1"/>
  <c r="D36" i="2"/>
  <c r="H24" i="2"/>
  <c r="N29" i="2"/>
  <c r="E22" i="2"/>
  <c r="O22" i="2"/>
  <c r="K24" i="2"/>
  <c r="D25" i="2"/>
  <c r="N25" i="2"/>
  <c r="F26" i="2"/>
  <c r="P26" i="2"/>
  <c r="E29" i="2"/>
  <c r="O29" i="2"/>
  <c r="M32" i="2"/>
  <c r="G33" i="2"/>
  <c r="Q33" i="2"/>
  <c r="J34" i="2"/>
  <c r="D35" i="2"/>
  <c r="J24" i="2"/>
  <c r="D29" i="2"/>
  <c r="V8" i="1"/>
  <c r="V13" i="1"/>
  <c r="F22" i="2"/>
  <c r="P22" i="2"/>
  <c r="L24" i="2"/>
  <c r="E25" i="2"/>
  <c r="O25" i="2"/>
  <c r="G26" i="2"/>
  <c r="Q26" i="2"/>
  <c r="J27" i="2"/>
  <c r="S11" i="2"/>
  <c r="M28" i="2"/>
  <c r="F29" i="2"/>
  <c r="P29" i="2"/>
  <c r="I30" i="2"/>
  <c r="H33" i="2"/>
  <c r="E35" i="2"/>
  <c r="F36" i="2"/>
  <c r="Q29" i="2"/>
  <c r="D24" i="2"/>
  <c r="N24" i="2"/>
  <c r="G25" i="2"/>
  <c r="Q25" i="2"/>
  <c r="I26" i="2"/>
  <c r="L27" i="2"/>
  <c r="E28" i="2"/>
  <c r="O28" i="2"/>
  <c r="H29" i="2"/>
  <c r="R29" i="2"/>
  <c r="K30" i="2"/>
  <c r="Q31" i="2"/>
  <c r="J33" i="2"/>
  <c r="P34" i="2"/>
  <c r="M34" i="2"/>
  <c r="G36" i="2"/>
  <c r="E24" i="2"/>
  <c r="O24" i="2"/>
  <c r="H25" i="2"/>
  <c r="R25" i="2"/>
  <c r="J26" i="2"/>
  <c r="S10" i="2"/>
  <c r="L30" i="2"/>
  <c r="Q32" i="2"/>
  <c r="K33" i="2"/>
  <c r="H35" i="2"/>
  <c r="I36" i="2"/>
  <c r="G22" i="2"/>
  <c r="J22" i="2"/>
  <c r="S6" i="2"/>
  <c r="K26" i="2"/>
  <c r="N27" i="2"/>
  <c r="J29" i="2"/>
  <c r="L33" i="2"/>
  <c r="O34" i="2"/>
  <c r="J36" i="2"/>
  <c r="Q22" i="2"/>
  <c r="K22" i="2"/>
  <c r="G24" i="2"/>
  <c r="Q24" i="2"/>
  <c r="J25" i="2"/>
  <c r="K29" i="2"/>
  <c r="J35" i="2"/>
  <c r="G29" i="2"/>
  <c r="L22" i="2"/>
  <c r="S7" i="2"/>
  <c r="K25" i="2"/>
  <c r="M26" i="2"/>
  <c r="L29" i="2"/>
  <c r="E30" i="2"/>
  <c r="O30" i="2"/>
  <c r="D33" i="2"/>
  <c r="N33" i="2"/>
  <c r="D31" i="3"/>
  <c r="Y12" i="1"/>
  <c r="Z12" i="1" s="1"/>
  <c r="W12" i="1"/>
  <c r="X12" i="1" s="1"/>
  <c r="D38" i="3"/>
  <c r="Y19" i="1"/>
  <c r="Z19" i="1" s="1"/>
  <c r="W19" i="1"/>
  <c r="X19" i="1" s="1"/>
  <c r="G77" i="5"/>
  <c r="D30" i="3"/>
  <c r="W11" i="1"/>
  <c r="X11" i="1" s="1"/>
  <c r="Y11" i="1"/>
  <c r="Z11" i="1" s="1"/>
  <c r="D25" i="3"/>
  <c r="W6" i="1"/>
  <c r="X6" i="1" s="1"/>
  <c r="Y6" i="1"/>
  <c r="Z6" i="1" s="1"/>
  <c r="D28" i="3"/>
  <c r="Y9" i="1"/>
  <c r="Z9" i="1" s="1"/>
  <c r="W9" i="1"/>
  <c r="X9" i="1" s="1"/>
  <c r="D35" i="3"/>
  <c r="W16" i="1"/>
  <c r="X16" i="1" s="1"/>
  <c r="Y16" i="1"/>
  <c r="Z16" i="1" s="1"/>
  <c r="D34" i="3"/>
  <c r="W15" i="1"/>
  <c r="X15" i="1" s="1"/>
  <c r="Y15" i="1"/>
  <c r="Z15" i="1" s="1"/>
  <c r="D36" i="3"/>
  <c r="Y17" i="1"/>
  <c r="Z17" i="1" s="1"/>
  <c r="W17" i="1"/>
  <c r="X17" i="1" s="1"/>
  <c r="D26" i="3"/>
  <c r="Y7" i="1"/>
  <c r="Z7" i="1" s="1"/>
  <c r="W7" i="1"/>
  <c r="X7" i="1" s="1"/>
  <c r="D33" i="3"/>
  <c r="Y14" i="1"/>
  <c r="Z14" i="1" s="1"/>
  <c r="W14" i="1"/>
  <c r="X14" i="1" s="1"/>
  <c r="D24" i="3"/>
  <c r="W5" i="1"/>
  <c r="X5" i="1" s="1"/>
  <c r="Y5" i="1"/>
  <c r="Z5" i="1" s="1"/>
  <c r="D29" i="3"/>
  <c r="Y10" i="1"/>
  <c r="Z10" i="1" s="1"/>
  <c r="W10" i="1"/>
  <c r="X10" i="1" s="1"/>
  <c r="V9" i="1"/>
  <c r="V14" i="1"/>
  <c r="V19" i="1"/>
  <c r="S9" i="2"/>
  <c r="S17" i="2"/>
  <c r="I22" i="2"/>
  <c r="I28" i="2"/>
  <c r="AU9" i="5"/>
  <c r="H82" i="5" s="1"/>
  <c r="E82" i="5"/>
  <c r="AT22" i="5"/>
  <c r="G82" i="5" s="1"/>
  <c r="D86" i="5"/>
  <c r="E71" i="5"/>
  <c r="M26" i="5"/>
  <c r="W26" i="5"/>
  <c r="D26" i="5"/>
  <c r="N26" i="5"/>
  <c r="X26" i="5"/>
  <c r="F47" i="3"/>
  <c r="E47" i="3"/>
  <c r="C47" i="3"/>
  <c r="F27" i="3"/>
  <c r="G27" i="3" s="1"/>
  <c r="E27" i="3"/>
  <c r="K28" i="2"/>
  <c r="I47" i="3"/>
  <c r="AT19" i="5"/>
  <c r="G83" i="5" s="1"/>
  <c r="E83" i="5"/>
  <c r="E88" i="5"/>
  <c r="AT24" i="5"/>
  <c r="G88" i="5" s="1"/>
  <c r="AU11" i="5"/>
  <c r="H88" i="5" s="1"/>
  <c r="AU6" i="5"/>
  <c r="H83" i="5" s="1"/>
  <c r="E26" i="5"/>
  <c r="O26" i="5"/>
  <c r="Y26" i="5"/>
  <c r="G26" i="5"/>
  <c r="F57" i="3"/>
  <c r="E57" i="3"/>
  <c r="D57" i="3"/>
  <c r="C57" i="3"/>
  <c r="F37" i="3"/>
  <c r="G37" i="3" s="1"/>
  <c r="E37" i="3"/>
  <c r="W8" i="1"/>
  <c r="X8" i="1" s="1"/>
  <c r="W13" i="1"/>
  <c r="X13" i="1" s="1"/>
  <c r="W18" i="1"/>
  <c r="X18" i="1" s="1"/>
  <c r="G27" i="2"/>
  <c r="Q27" i="2"/>
  <c r="G31" i="2"/>
  <c r="F72" i="5"/>
  <c r="H72" i="5"/>
  <c r="F26" i="5"/>
  <c r="P26" i="5"/>
  <c r="Z26" i="5"/>
  <c r="Q26" i="5"/>
  <c r="V17" i="1"/>
  <c r="S12" i="2"/>
  <c r="E84" i="5"/>
  <c r="AT21" i="5"/>
  <c r="G84" i="5" s="1"/>
  <c r="AU8" i="5"/>
  <c r="H84" i="5" s="1"/>
  <c r="H71" i="5"/>
  <c r="AA26" i="5"/>
  <c r="G71" i="5" s="1"/>
  <c r="Y8" i="1"/>
  <c r="Z8" i="1" s="1"/>
  <c r="Y13" i="1"/>
  <c r="Z13" i="1" s="1"/>
  <c r="Y18" i="1"/>
  <c r="Z18" i="1" s="1"/>
  <c r="D34" i="2"/>
  <c r="N34" i="2"/>
  <c r="V16" i="1"/>
  <c r="AU5" i="5"/>
  <c r="H89" i="5" s="1"/>
  <c r="AT18" i="5"/>
  <c r="G89" i="5" s="1"/>
  <c r="E89" i="5"/>
  <c r="E90" i="5"/>
  <c r="AT23" i="5"/>
  <c r="G90" i="5" s="1"/>
  <c r="AU10" i="5"/>
  <c r="H90" i="5" s="1"/>
  <c r="D74" i="5"/>
  <c r="C90" i="5"/>
  <c r="I26" i="5"/>
  <c r="S26" i="5"/>
  <c r="E86" i="5"/>
  <c r="AT26" i="5"/>
  <c r="G86" i="5" s="1"/>
  <c r="AU13" i="5"/>
  <c r="H86" i="5" s="1"/>
  <c r="I52" i="3"/>
  <c r="F32" i="3"/>
  <c r="G32" i="3" s="1"/>
  <c r="E32" i="3"/>
  <c r="F52" i="3"/>
  <c r="E52" i="3"/>
  <c r="D52" i="3"/>
  <c r="F34" i="2"/>
  <c r="J26" i="5"/>
  <c r="T26" i="5"/>
  <c r="I57" i="3"/>
  <c r="AT20" i="5"/>
  <c r="G85" i="5" s="1"/>
  <c r="AU7" i="5"/>
  <c r="H85" i="5" s="1"/>
  <c r="E85" i="5"/>
  <c r="AU12" i="5"/>
  <c r="H87" i="5" s="1"/>
  <c r="AT25" i="5"/>
  <c r="G87" i="5" s="1"/>
  <c r="E87" i="5"/>
  <c r="K26" i="5"/>
  <c r="U26" i="5"/>
  <c r="H66" i="5"/>
  <c r="H68" i="5"/>
  <c r="H70" i="5"/>
  <c r="H74" i="5"/>
  <c r="D83" i="5"/>
  <c r="D85" i="5"/>
  <c r="D87" i="5"/>
  <c r="D71" i="5"/>
  <c r="D73" i="5"/>
  <c r="E67" i="5"/>
  <c r="E73" i="5"/>
  <c r="F67" i="5"/>
  <c r="F69" i="5"/>
  <c r="F71" i="5"/>
  <c r="F73" i="5"/>
  <c r="D84" i="5"/>
  <c r="D90" i="5"/>
  <c r="F50" i="3" l="1"/>
  <c r="E50" i="3"/>
  <c r="D50" i="3"/>
  <c r="F30" i="3"/>
  <c r="G30" i="3" s="1"/>
  <c r="E30" i="3"/>
  <c r="I50" i="3"/>
  <c r="C50" i="3"/>
  <c r="I54" i="3"/>
  <c r="F54" i="3"/>
  <c r="F34" i="3"/>
  <c r="G34" i="3" s="1"/>
  <c r="E54" i="3"/>
  <c r="D54" i="3"/>
  <c r="C54" i="3"/>
  <c r="E34" i="3"/>
  <c r="I55" i="3"/>
  <c r="F55" i="3"/>
  <c r="E55" i="3"/>
  <c r="F35" i="3"/>
  <c r="G35" i="3" s="1"/>
  <c r="D55" i="3"/>
  <c r="E35" i="3"/>
  <c r="C55" i="3"/>
  <c r="D46" i="3"/>
  <c r="F26" i="3"/>
  <c r="G26" i="3" s="1"/>
  <c r="C46" i="3"/>
  <c r="E26" i="3"/>
  <c r="I46" i="3"/>
  <c r="F46" i="3"/>
  <c r="E46" i="3"/>
  <c r="C49" i="3"/>
  <c r="F29" i="3"/>
  <c r="G29" i="3" s="1"/>
  <c r="I49" i="3"/>
  <c r="F49" i="3"/>
  <c r="E49" i="3"/>
  <c r="D49" i="3"/>
  <c r="E29" i="3"/>
  <c r="S72" i="2" a="1"/>
  <c r="S72" i="2" s="1"/>
  <c r="S71" i="2" a="1"/>
  <c r="S71" i="2" s="1"/>
  <c r="S68" i="2" a="1"/>
  <c r="S68" i="2" s="1"/>
  <c r="T65" i="2" a="1"/>
  <c r="T65" i="2" s="1"/>
  <c r="S63" i="2" a="1"/>
  <c r="S63" i="2" s="1"/>
  <c r="T60" i="2" a="1"/>
  <c r="T60" i="2" s="1"/>
  <c r="S58" i="2" a="1"/>
  <c r="S58" i="2" s="1"/>
  <c r="T68" i="2" a="1"/>
  <c r="T68" i="2" s="1"/>
  <c r="T70" i="2" a="1"/>
  <c r="T70" i="2" s="1"/>
  <c r="T67" i="2" a="1"/>
  <c r="T67" i="2" s="1"/>
  <c r="S65" i="2" a="1"/>
  <c r="S65" i="2" s="1"/>
  <c r="T62" i="2" a="1"/>
  <c r="T62" i="2" s="1"/>
  <c r="S60" i="2" a="1"/>
  <c r="S60" i="2" s="1"/>
  <c r="S61" i="2" a="1"/>
  <c r="S61" i="2" s="1"/>
  <c r="S70" i="2" a="1"/>
  <c r="S70" i="2" s="1"/>
  <c r="S67" i="2" a="1"/>
  <c r="S67" i="2" s="1"/>
  <c r="T64" i="2" a="1"/>
  <c r="T64" i="2" s="1"/>
  <c r="S62" i="2" a="1"/>
  <c r="S62" i="2" s="1"/>
  <c r="T59" i="2" a="1"/>
  <c r="T59" i="2" s="1"/>
  <c r="S66" i="2" a="1"/>
  <c r="S66" i="2" s="1"/>
  <c r="T69" i="2" a="1"/>
  <c r="T69" i="2" s="1"/>
  <c r="T72" i="2" a="1"/>
  <c r="T72" i="2" s="1"/>
  <c r="S69" i="2" a="1"/>
  <c r="S69" i="2" s="1"/>
  <c r="T66" i="2" a="1"/>
  <c r="T66" i="2" s="1"/>
  <c r="S64" i="2" a="1"/>
  <c r="S64" i="2" s="1"/>
  <c r="T61" i="2" a="1"/>
  <c r="T61" i="2" s="1"/>
  <c r="S59" i="2" a="1"/>
  <c r="S59" i="2" s="1"/>
  <c r="T63" i="2" a="1"/>
  <c r="T63" i="2" s="1"/>
  <c r="T71" i="2" a="1"/>
  <c r="T71" i="2" s="1"/>
  <c r="T58" i="2" a="1"/>
  <c r="T58" i="2" s="1"/>
  <c r="I48" i="3"/>
  <c r="F48" i="3"/>
  <c r="E48" i="3"/>
  <c r="D48" i="3"/>
  <c r="C48" i="3"/>
  <c r="F28" i="3"/>
  <c r="G28" i="3" s="1"/>
  <c r="E28" i="3"/>
  <c r="I58" i="3"/>
  <c r="F58" i="3"/>
  <c r="E58" i="3"/>
  <c r="D58" i="3"/>
  <c r="C58" i="3"/>
  <c r="F38" i="3"/>
  <c r="G38" i="3" s="1"/>
  <c r="E38" i="3"/>
  <c r="E53" i="3"/>
  <c r="D53" i="3"/>
  <c r="C53" i="3"/>
  <c r="I53" i="3"/>
  <c r="F33" i="3"/>
  <c r="G33" i="3" s="1"/>
  <c r="E33" i="3"/>
  <c r="F53" i="3"/>
  <c r="S48" i="2" a="1"/>
  <c r="S48" i="2" s="1"/>
  <c r="T52" i="2" a="1"/>
  <c r="T52" i="2" s="1"/>
  <c r="S50" i="2" a="1"/>
  <c r="S50" i="2" s="1"/>
  <c r="T47" i="2" a="1"/>
  <c r="T47" i="2" s="1"/>
  <c r="S45" i="2" a="1"/>
  <c r="S45" i="2" s="1"/>
  <c r="T42" i="2" a="1"/>
  <c r="T42" i="2" s="1"/>
  <c r="S40" i="2" a="1"/>
  <c r="S40" i="2" s="1"/>
  <c r="T45" i="2" a="1"/>
  <c r="T45" i="2" s="1"/>
  <c r="T54" i="2" a="1"/>
  <c r="T54" i="2" s="1"/>
  <c r="S52" i="2" a="1"/>
  <c r="S52" i="2" s="1"/>
  <c r="T49" i="2" a="1"/>
  <c r="T49" i="2" s="1"/>
  <c r="S47" i="2" a="1"/>
  <c r="S47" i="2" s="1"/>
  <c r="T44" i="2" a="1"/>
  <c r="T44" i="2" s="1"/>
  <c r="S42" i="2" a="1"/>
  <c r="S42" i="2" s="1"/>
  <c r="S53" i="2" a="1"/>
  <c r="S53" i="2" s="1"/>
  <c r="S54" i="2" a="1"/>
  <c r="S54" i="2" s="1"/>
  <c r="T51" i="2" a="1"/>
  <c r="T51" i="2" s="1"/>
  <c r="S49" i="2" a="1"/>
  <c r="S49" i="2" s="1"/>
  <c r="T46" i="2" a="1"/>
  <c r="T46" i="2" s="1"/>
  <c r="S44" i="2" a="1"/>
  <c r="S44" i="2" s="1"/>
  <c r="T41" i="2" a="1"/>
  <c r="T41" i="2" s="1"/>
  <c r="S43" i="2" a="1"/>
  <c r="S43" i="2" s="1"/>
  <c r="T50" i="2" a="1"/>
  <c r="T50" i="2" s="1"/>
  <c r="T53" i="2" a="1"/>
  <c r="T53" i="2" s="1"/>
  <c r="S51" i="2" a="1"/>
  <c r="S51" i="2" s="1"/>
  <c r="T48" i="2" a="1"/>
  <c r="T48" i="2" s="1"/>
  <c r="S46" i="2" a="1"/>
  <c r="S46" i="2" s="1"/>
  <c r="T43" i="2" a="1"/>
  <c r="T43" i="2" s="1"/>
  <c r="S41" i="2" a="1"/>
  <c r="S41" i="2" s="1"/>
  <c r="T40" i="2" a="1"/>
  <c r="T40" i="2" s="1"/>
  <c r="S75" i="2" s="1"/>
  <c r="D56" i="3"/>
  <c r="F36" i="3"/>
  <c r="G36" i="3" s="1"/>
  <c r="C56" i="3"/>
  <c r="E36" i="3"/>
  <c r="I56" i="3"/>
  <c r="F56" i="3"/>
  <c r="E56" i="3"/>
  <c r="I44" i="3"/>
  <c r="F44" i="3"/>
  <c r="F24" i="3"/>
  <c r="G24" i="3" s="1"/>
  <c r="D44" i="3"/>
  <c r="C44" i="3"/>
  <c r="E24" i="3"/>
  <c r="E44" i="3"/>
  <c r="H76" i="5"/>
  <c r="H77" i="5" s="1"/>
  <c r="F45" i="3"/>
  <c r="E45" i="3"/>
  <c r="F25" i="3"/>
  <c r="G25" i="3" s="1"/>
  <c r="D45" i="3"/>
  <c r="E25" i="3"/>
  <c r="C45" i="3"/>
  <c r="I45" i="3"/>
  <c r="F31" i="3"/>
  <c r="G31" i="3" s="1"/>
  <c r="I51" i="3"/>
  <c r="E31" i="3"/>
  <c r="F51" i="3"/>
  <c r="E51" i="3"/>
  <c r="D51" i="3"/>
  <c r="C51" i="3"/>
</calcChain>
</file>

<file path=xl/sharedStrings.xml><?xml version="1.0" encoding="utf-8"?>
<sst xmlns="http://schemas.openxmlformats.org/spreadsheetml/2006/main" count="446" uniqueCount="125">
  <si>
    <t>Célérték</t>
  </si>
  <si>
    <t>Leadandó</t>
  </si>
  <si>
    <t>%</t>
  </si>
  <si>
    <t>Eddigi fogyás</t>
  </si>
  <si>
    <t>Fogyás rank</t>
  </si>
  <si>
    <t>Eddigi fogyás %</t>
  </si>
  <si>
    <t>Fogyás % rank</t>
  </si>
  <si>
    <t>4. hét</t>
  </si>
  <si>
    <t>5. hét</t>
  </si>
  <si>
    <t>6 .hét</t>
  </si>
  <si>
    <t>7. hét</t>
  </si>
  <si>
    <t>8. hét</t>
  </si>
  <si>
    <t>9 .hét</t>
  </si>
  <si>
    <t>10. hét</t>
  </si>
  <si>
    <t>11. hét</t>
  </si>
  <si>
    <t>12 .hét</t>
  </si>
  <si>
    <t>13. hét</t>
  </si>
  <si>
    <t>14. hét</t>
  </si>
  <si>
    <t>15 .hét</t>
  </si>
  <si>
    <t>16. hét</t>
  </si>
  <si>
    <t>17. hét</t>
  </si>
  <si>
    <t>18 .hét</t>
  </si>
  <si>
    <t>19. hét</t>
  </si>
  <si>
    <t>20. hét</t>
  </si>
  <si>
    <t>21. hét</t>
  </si>
  <si>
    <t>Barcsik Kristóf</t>
  </si>
  <si>
    <t>Galgóczy Ádám</t>
  </si>
  <si>
    <t>Jávor Tamás</t>
  </si>
  <si>
    <t>Krekuska Gábor</t>
  </si>
  <si>
    <t>Molnár György</t>
  </si>
  <si>
    <t>Varga Szabolcs</t>
  </si>
  <si>
    <t>Vaspál Gergő</t>
  </si>
  <si>
    <t>Várnoki Ádám</t>
  </si>
  <si>
    <t>Szikora István</t>
  </si>
  <si>
    <t>Kováts Tibor</t>
  </si>
  <si>
    <t>Zorván Zoárd</t>
  </si>
  <si>
    <t>Beötthy Tímea</t>
  </si>
  <si>
    <t>Kellős György</t>
  </si>
  <si>
    <t>Jákob Tamás</t>
  </si>
  <si>
    <t>Tóth Roland</t>
  </si>
  <si>
    <t>Szabó Zoltán</t>
  </si>
  <si>
    <t>Fogyás</t>
  </si>
  <si>
    <t>Fogyás [kg] helyezés</t>
  </si>
  <si>
    <t>Név</t>
  </si>
  <si>
    <t>Fogyás [%] helyezés</t>
  </si>
  <si>
    <t>Csapat összes fogyás [kg]</t>
  </si>
  <si>
    <t xml:space="preserve"> </t>
  </si>
  <si>
    <t>Kezdő súly</t>
  </si>
  <si>
    <t>kitűzött cél</t>
  </si>
  <si>
    <t>Igen</t>
  </si>
  <si>
    <t>Nem</t>
  </si>
  <si>
    <t>Jelenlegi</t>
  </si>
  <si>
    <t>Teljesül?</t>
  </si>
  <si>
    <t>Ennyit kéne...</t>
  </si>
  <si>
    <t>...hetente leadni:</t>
  </si>
  <si>
    <t>Találat</t>
  </si>
  <si>
    <t>Progresszió - teljesült a kitűzött cél...</t>
  </si>
  <si>
    <t>negyede</t>
  </si>
  <si>
    <t xml:space="preserve">fele </t>
  </si>
  <si>
    <t>háromnegyede</t>
  </si>
  <si>
    <t>Teljesült</t>
  </si>
  <si>
    <t>Nekikezdett!</t>
  </si>
  <si>
    <t>Jól halad!</t>
  </si>
  <si>
    <t>Majdnem kész!</t>
  </si>
  <si>
    <t>Kész a test.</t>
  </si>
  <si>
    <t>9. hét</t>
  </si>
  <si>
    <t>12. hét</t>
  </si>
  <si>
    <t>15. hét</t>
  </si>
  <si>
    <t>18. hét</t>
  </si>
  <si>
    <t>22. hét</t>
  </si>
  <si>
    <t>23. hét</t>
  </si>
  <si>
    <t>24. hét</t>
  </si>
  <si>
    <t>25 .hét</t>
  </si>
  <si>
    <t>26. hét</t>
  </si>
  <si>
    <t>27. hét</t>
  </si>
  <si>
    <t>28. hét</t>
  </si>
  <si>
    <t>29. hét</t>
  </si>
  <si>
    <t>30. hét</t>
  </si>
  <si>
    <t>31. hét</t>
  </si>
  <si>
    <t>32. hét</t>
  </si>
  <si>
    <t>33.hét</t>
  </si>
  <si>
    <t>34. hét</t>
  </si>
  <si>
    <t>35. hét</t>
  </si>
  <si>
    <t>36. hét</t>
  </si>
  <si>
    <t>37 .hét</t>
  </si>
  <si>
    <t>38. hét</t>
  </si>
  <si>
    <t>39. hét</t>
  </si>
  <si>
    <t>40. hét</t>
  </si>
  <si>
    <t>41. hét</t>
  </si>
  <si>
    <t>42. hét</t>
  </si>
  <si>
    <t>43. hét</t>
  </si>
  <si>
    <t>44. hét</t>
  </si>
  <si>
    <t>45. hét</t>
  </si>
  <si>
    <t>46. hét</t>
  </si>
  <si>
    <t>47. hét</t>
  </si>
  <si>
    <t>48. hét</t>
  </si>
  <si>
    <t>49. hét</t>
  </si>
  <si>
    <t>50. hét</t>
  </si>
  <si>
    <t>Változás (Kg)</t>
  </si>
  <si>
    <t>ű</t>
  </si>
  <si>
    <t>Szikora Isván</t>
  </si>
  <si>
    <t>Helyezés</t>
  </si>
  <si>
    <t>Versenyző</t>
  </si>
  <si>
    <t>Kezdő érték</t>
  </si>
  <si>
    <t>Végeredmény</t>
  </si>
  <si>
    <t>százalék</t>
  </si>
  <si>
    <t>súlykülönbség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</si>
  <si>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</si>
  <si>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</si>
  <si>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</si>
  <si>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</si>
  <si>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</si>
  <si>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</si>
  <si>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</si>
  <si>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</si>
  <si>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</si>
  <si>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össz változás:</t>
  </si>
  <si>
    <t>átlagos fogyás:</t>
  </si>
  <si>
    <t>éves helyezés</t>
  </si>
  <si>
    <t>kezdős súly</t>
  </si>
  <si>
    <t>Záró súly</t>
  </si>
  <si>
    <t>Változás (%)</t>
  </si>
  <si>
    <t>Kimutatható fogyás</t>
  </si>
  <si>
    <t>Kakilás-ivás tartomány</t>
  </si>
  <si>
    <t>Súlygyarapodásnak tűnik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</si>
</sst>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.mm\.dd"/>
    <numFmt numFmtId="165" formatCode="yyyy\.mm\.dd\.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b/>
      <sz val="10"/>
      <color theme="1"/>
      <name val="Arial"/>
      <scheme val="minor"/>
    </font>
    <font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theme="6"/>
        <bgColor theme="6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1">
    <xf numFmtId="0" fontId="0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4" fontId="1" fillId="0" borderId="0" xfId="0" applyNumberFormat="1" applyFont="1" applyAlignment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NumberFormat="1" applyFont="1" applyAlignment="1"/>
    <xf numFmtId="0" fontId="1" fillId="0" borderId="0" xfId="0" applyNumberFormat="1" applyFont="1" applyAlignment="1"/>
    <xf numFmtId="0" fontId="1" fillId="0" borderId="0" xfId="0" applyNumberFormat="1" applyFont="1"/>
    <xf numFmtId="10" fontId="1" fillId="0" borderId="0" xfId="0" applyNumberFormat="1" applyFont="1"/>
    <xf numFmtId="0" fontId="1" fillId="0" borderId="0" xfId="0" applyFont="1"/>
    <xf numFmtId="0" fontId="1" fillId="0" borderId="0" xfId="0" applyNumberFormat="1" applyFont="1"/>
    <xf numFmtId="4" fontId="1" fillId="0" borderId="0" xfId="0" applyNumberFormat="1" applyFont="1"/>
    <xf numFmtId="10" fontId="1" fillId="0" borderId="0" xfId="0" applyNumberFormat="1" applyFont="1" applyAlignment="1"/>
    <xf numFmtId="0" fontId="1" fillId="0" borderId="1" xfId="0" applyFont="1" applyBorder="1" applyAlignme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NumberFormat="1" applyFont="1" applyBorder="1"/>
    <xf numFmtId="0" fontId="1" fillId="0" borderId="1" xfId="0" applyNumberFormat="1" applyFont="1" applyBorder="1"/>
    <xf numFmtId="0" fontId="3" fillId="0" borderId="1" xfId="0" applyFont="1" applyBorder="1" applyAlignment="1"/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10" fontId="3" fillId="0" borderId="1" xfId="0" applyNumberFormat="1" applyFont="1" applyBorder="1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0" borderId="2" xfId="0" applyFon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/>
    <xf numFmtId="0" fontId="1" fillId="0" borderId="5" xfId="0" applyFont="1" applyBorder="1" applyAlignment="1">
      <alignment horizontal="center"/>
    </xf>
    <xf numFmtId="0" fontId="1" fillId="0" borderId="6" xfId="0" applyFont="1" applyBorder="1"/>
    <xf numFmtId="0" fontId="1" fillId="0" borderId="7" xfId="0" applyNumberFormat="1" applyFont="1" applyBorder="1" applyAlignment="1">
      <alignment horizontal="center"/>
    </xf>
    <xf numFmtId="0" fontId="1" fillId="0" borderId="7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NumberFormat="1" applyFont="1" applyBorder="1" applyAlignment="1">
      <alignment horizontal="center"/>
    </xf>
    <xf numFmtId="0" fontId="1" fillId="0" borderId="5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/>
    <xf numFmtId="0" fontId="1" fillId="0" borderId="0" xfId="0" applyNumberFormat="1" applyFont="1" applyAlignment="1">
      <alignment horizontal="center"/>
    </xf>
    <xf numFmtId="0" fontId="1" fillId="0" borderId="11" xfId="0" applyNumberFormat="1" applyFont="1" applyBorder="1" applyAlignment="1">
      <alignment horizontal="center"/>
    </xf>
    <xf numFmtId="0" fontId="1" fillId="0" borderId="9" xfId="0" applyNumberFormat="1" applyFont="1" applyBorder="1" applyAlignment="1">
      <alignment horizontal="center"/>
    </xf>
    <xf numFmtId="0" fontId="1" fillId="5" borderId="10" xfId="0" applyFont="1" applyFill="1" applyBorder="1"/>
    <xf numFmtId="0" fontId="1" fillId="5" borderId="0" xfId="0" applyNumberFormat="1" applyFont="1" applyFill="1" applyAlignment="1">
      <alignment horizontal="center"/>
    </xf>
    <xf numFmtId="0" fontId="1" fillId="5" borderId="11" xfId="0" applyNumberFormat="1" applyFont="1" applyFill="1" applyBorder="1" applyAlignment="1">
      <alignment horizontal="center"/>
    </xf>
    <xf numFmtId="0" fontId="1" fillId="0" borderId="12" xfId="0" applyFont="1" applyBorder="1"/>
    <xf numFmtId="0" fontId="1" fillId="0" borderId="13" xfId="0" applyNumberFormat="1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NumberFormat="1" applyFont="1" applyBorder="1" applyAlignment="1">
      <alignment horizontal="center"/>
    </xf>
    <xf numFmtId="0" fontId="1" fillId="0" borderId="15" xfId="0" applyNumberFormat="1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9" fontId="1" fillId="0" borderId="8" xfId="0" applyNumberFormat="1" applyFont="1" applyBorder="1"/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9" fontId="1" fillId="0" borderId="11" xfId="0" applyNumberFormat="1" applyFont="1" applyBorder="1"/>
    <xf numFmtId="0" fontId="1" fillId="0" borderId="1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9" fontId="1" fillId="0" borderId="14" xfId="0" applyNumberFormat="1" applyFont="1" applyBorder="1"/>
    <xf numFmtId="4" fontId="1" fillId="0" borderId="0" xfId="0" applyNumberFormat="1" applyFont="1" applyAlignme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10" fontId="3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4" fontId="1" fillId="6" borderId="0" xfId="0" applyNumberFormat="1" applyFont="1" applyFill="1" applyAlignment="1">
      <alignment horizontal="center"/>
    </xf>
    <xf numFmtId="10" fontId="1" fillId="6" borderId="0" xfId="0" applyNumberFormat="1" applyFont="1" applyFill="1" applyAlignment="1">
      <alignment horizontal="center"/>
    </xf>
    <xf numFmtId="0" fontId="1" fillId="6" borderId="11" xfId="0" applyNumberFormat="1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4" fontId="1" fillId="5" borderId="0" xfId="0" applyNumberFormat="1" applyFont="1" applyFill="1" applyAlignment="1">
      <alignment horizontal="center"/>
    </xf>
    <xf numFmtId="10" fontId="1" fillId="5" borderId="0" xfId="0" applyNumberFormat="1" applyFont="1" applyFill="1" applyAlignment="1">
      <alignment horizontal="center"/>
    </xf>
    <xf numFmtId="0" fontId="1" fillId="5" borderId="11" xfId="0" applyNumberFormat="1" applyFont="1" applyFill="1" applyBorder="1" applyAlignment="1">
      <alignment horizontal="center"/>
    </xf>
    <xf numFmtId="0" fontId="1" fillId="7" borderId="9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4" fontId="1" fillId="7" borderId="0" xfId="0" applyNumberFormat="1" applyFont="1" applyFill="1" applyAlignment="1">
      <alignment horizontal="center"/>
    </xf>
    <xf numFmtId="10" fontId="1" fillId="7" borderId="0" xfId="0" applyNumberFormat="1" applyFont="1" applyFill="1" applyAlignment="1">
      <alignment horizontal="center"/>
    </xf>
    <xf numFmtId="0" fontId="1" fillId="7" borderId="11" xfId="0" applyNumberFormat="1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3" xfId="0" applyFont="1" applyFill="1" applyBorder="1" applyAlignment="1">
      <alignment horizontal="center"/>
    </xf>
    <xf numFmtId="4" fontId="1" fillId="7" borderId="13" xfId="0" applyNumberFormat="1" applyFont="1" applyFill="1" applyBorder="1" applyAlignment="1">
      <alignment horizontal="center"/>
    </xf>
    <xf numFmtId="10" fontId="1" fillId="7" borderId="13" xfId="0" applyNumberFormat="1" applyFont="1" applyFill="1" applyBorder="1" applyAlignment="1">
      <alignment horizontal="center"/>
    </xf>
    <xf numFmtId="0" fontId="1" fillId="7" borderId="14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4" fillId="0" borderId="7" xfId="0" applyFont="1" applyBorder="1"/>
    <xf numFmtId="0" fontId="4" fillId="0" borderId="8" xfId="0" applyFont="1" applyBorder="1"/>
    <xf numFmtId="0" fontId="1" fillId="0" borderId="2" xfId="0" applyFont="1" applyBorder="1" applyAlignment="1">
      <alignment horizontal="center"/>
    </xf>
    <xf numFmtId="0" fontId="4" fillId="0" borderId="3" xfId="0" applyFont="1" applyBorder="1"/>
    <xf numFmtId="0" fontId="1" fillId="6" borderId="2" xfId="0" applyFont="1" applyFill="1" applyBorder="1" applyAlignment="1"/>
    <xf numFmtId="0" fontId="4" fillId="0" borderId="4" xfId="0" applyFont="1" applyBorder="1"/>
    <xf numFmtId="0" fontId="1" fillId="5" borderId="2" xfId="0" applyFont="1" applyFill="1" applyBorder="1" applyAlignment="1"/>
    <xf numFmtId="0" fontId="1" fillId="7" borderId="2" xfId="0" applyFont="1" applyFill="1" applyBorder="1" applyAlignment="1"/>
  </cellXfs>
  <cellStyles count="1">
    <cellStyle name="Normál" xfId="0" builtinId="0"/>
  </cellStyles>
  <dxfs count="12">
    <dxf>
      <fill>
        <patternFill patternType="solid">
          <fgColor rgb="FF990000"/>
          <bgColor rgb="FF990000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F1C232"/>
          <bgColor rgb="FFF1C23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Éves diagram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Éves diagram-style 2" pivot="0" count="2" xr9:uid="{00000000-0011-0000-FFFF-FFFF01000000}"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Egyéni cél elérése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Tippjáték!$H$44:$H$58</c:f>
              <c:strCache>
                <c:ptCount val="15"/>
                <c:pt idx="0">
                  <c:v>Barcsik Kristóf</c:v>
                </c:pt>
                <c:pt idx="1">
                  <c:v>Galgóczy Ádám</c:v>
                </c:pt>
                <c:pt idx="2">
                  <c:v>Jávor Tamás</c:v>
                </c:pt>
                <c:pt idx="3">
                  <c:v>Krekuska Gábor</c:v>
                </c:pt>
                <c:pt idx="4">
                  <c:v>Molnár György</c:v>
                </c:pt>
                <c:pt idx="5">
                  <c:v>Varga Szabolcs</c:v>
                </c:pt>
                <c:pt idx="6">
                  <c:v>Vaspál Gergő</c:v>
                </c:pt>
                <c:pt idx="7">
                  <c:v>Várnoki Ádám</c:v>
                </c:pt>
                <c:pt idx="8">
                  <c:v>Szikora István</c:v>
                </c:pt>
                <c:pt idx="9">
                  <c:v>Kováts Tibor</c:v>
                </c:pt>
                <c:pt idx="10">
                  <c:v>Zorván Zoárd</c:v>
                </c:pt>
                <c:pt idx="11">
                  <c:v>Beötthy Tímea</c:v>
                </c:pt>
                <c:pt idx="12">
                  <c:v>Kellős György</c:v>
                </c:pt>
                <c:pt idx="13">
                  <c:v>Jákob Tamás</c:v>
                </c:pt>
                <c:pt idx="14">
                  <c:v>Tóth Roland</c:v>
                </c:pt>
              </c:strCache>
            </c:strRef>
          </c:cat>
          <c:val>
            <c:numRef>
              <c:f>Tippjáték!$I$44:$I$58</c:f>
              <c:numCache>
                <c:formatCode>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00C-4124-941E-D028B8B3E7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2185430"/>
        <c:axId val="1974365594"/>
      </c:barChart>
      <c:catAx>
        <c:axId val="102218543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74365594"/>
        <c:crosses val="autoZero"/>
        <c:auto val="1"/>
        <c:lblAlgn val="ctr"/>
        <c:lblOffset val="100"/>
        <c:noMultiLvlLbl val="1"/>
      </c:catAx>
      <c:valAx>
        <c:axId val="1974365594"/>
        <c:scaling>
          <c:orientation val="minMax"/>
          <c:max val="1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22185430"/>
        <c:crosses val="max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952500</xdr:colOff>
      <xdr:row>38</xdr:row>
      <xdr:rowOff>19050</xdr:rowOff>
    </xdr:from>
    <xdr:ext cx="13392150" cy="7953375"/>
    <xdr:pic>
      <xdr:nvPicPr>
        <xdr:cNvPr id="1211656846" name="Chart1" title="Grafikon">
          <a:extLst>
            <a:ext uri="{FF2B5EF4-FFF2-40B4-BE49-F238E27FC236}">
              <a16:creationId xmlns:a16="http://schemas.microsoft.com/office/drawing/2014/main" id="{00000000-0008-0000-0100-00008E6A3848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952500</xdr:colOff>
      <xdr:row>61</xdr:row>
      <xdr:rowOff>161925</xdr:rowOff>
    </xdr:from>
    <xdr:ext cx="14068425" cy="5657850"/>
    <xdr:graphicFrame macro="">
      <xdr:nvGraphicFramePr>
        <xdr:cNvPr id="2" name="Chart 2" title="Grafiko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44</xdr:row>
      <xdr:rowOff>85725</xdr:rowOff>
    </xdr:from>
    <xdr:ext cx="11849100" cy="7315200"/>
    <xdr:pic>
      <xdr:nvPicPr>
        <xdr:cNvPr id="1331930087" name="Chart3" title="Grafikon">
          <a:extLst>
            <a:ext uri="{FF2B5EF4-FFF2-40B4-BE49-F238E27FC236}">
              <a16:creationId xmlns:a16="http://schemas.microsoft.com/office/drawing/2014/main" id="{00000000-0008-0000-0400-0000E7A3634F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847725</xdr:colOff>
      <xdr:row>26</xdr:row>
      <xdr:rowOff>28575</xdr:rowOff>
    </xdr:from>
    <xdr:ext cx="11849100" cy="7315200"/>
    <xdr:pic>
      <xdr:nvPicPr>
        <xdr:cNvPr id="1820411135" name="Chart4" title="Grafikon">
          <a:extLst>
            <a:ext uri="{FF2B5EF4-FFF2-40B4-BE49-F238E27FC236}">
              <a16:creationId xmlns:a16="http://schemas.microsoft.com/office/drawing/2014/main" id="{00000000-0008-0000-0400-0000FF44816C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ásodik_forduló" displayName="Második_forduló" ref="C65:H77">
  <tableColumns count="6">
    <tableColumn id="1" xr3:uid="{00000000-0010-0000-0000-000001000000}" name="Helyezés"/>
    <tableColumn id="2" xr3:uid="{00000000-0010-0000-0000-000002000000}" name="Versenyző"/>
    <tableColumn id="3" xr3:uid="{00000000-0010-0000-0000-000003000000}" name="Kezdő érték"/>
    <tableColumn id="4" xr3:uid="{00000000-0010-0000-0000-000004000000}" name="Végeredmény"/>
    <tableColumn id="5" xr3:uid="{00000000-0010-0000-0000-000005000000}" name="százalék"/>
    <tableColumn id="6" xr3:uid="{00000000-0010-0000-0000-000006000000}" name="súlykülönbség"/>
  </tableColumns>
  <tableStyleInfo name="Éves diagram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J66:N66" headerRowCount="0">
  <tableColumns count="5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</tableColumns>
  <tableStyleInfo name="Éves diagram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3:Z23"/>
  <sheetViews>
    <sheetView tabSelected="1" workbookViewId="0">
      <selection activeCell="K18" sqref="K18"/>
    </sheetView>
  </sheetViews>
  <sheetFormatPr defaultColWidth="12.5703125" defaultRowHeight="15.75" customHeight="1" x14ac:dyDescent="0.2"/>
  <cols>
    <col min="2" max="2" width="13.5703125" customWidth="1"/>
  </cols>
  <sheetData>
    <row r="3" spans="2:26" ht="12.75" x14ac:dyDescent="0.2">
      <c r="B3" s="1"/>
      <c r="C3" s="2">
        <v>46042</v>
      </c>
      <c r="D3" s="3">
        <v>46049</v>
      </c>
      <c r="E3" s="3">
        <v>46056</v>
      </c>
      <c r="F3" s="3">
        <v>46063</v>
      </c>
      <c r="G3" s="3">
        <v>46070</v>
      </c>
      <c r="H3" s="3">
        <v>46077</v>
      </c>
      <c r="I3" s="3">
        <v>46084</v>
      </c>
      <c r="J3" s="3">
        <v>46091</v>
      </c>
      <c r="K3" s="3">
        <v>46098</v>
      </c>
      <c r="L3" s="4">
        <v>46105</v>
      </c>
      <c r="M3" s="5">
        <v>46112</v>
      </c>
      <c r="N3" s="5">
        <v>46119</v>
      </c>
      <c r="O3" s="5">
        <v>46126</v>
      </c>
      <c r="P3" s="5">
        <v>46133</v>
      </c>
      <c r="Q3" s="5">
        <v>46140</v>
      </c>
      <c r="R3" s="5">
        <v>46147</v>
      </c>
      <c r="S3" s="5">
        <v>46154</v>
      </c>
      <c r="T3" s="6" t="s">
        <v>0</v>
      </c>
      <c r="U3" s="1" t="s">
        <v>1</v>
      </c>
      <c r="V3" s="7" t="s">
        <v>2</v>
      </c>
      <c r="W3" s="1" t="s">
        <v>3</v>
      </c>
      <c r="X3" s="1" t="s">
        <v>4</v>
      </c>
      <c r="Y3" s="1" t="s">
        <v>5</v>
      </c>
      <c r="Z3" s="1" t="s">
        <v>6</v>
      </c>
    </row>
    <row r="4" spans="2:26" ht="12.75" x14ac:dyDescent="0.2">
      <c r="C4" s="7" t="s">
        <v>7</v>
      </c>
      <c r="D4" s="7" t="s">
        <v>8</v>
      </c>
      <c r="E4" s="7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 t="s">
        <v>14</v>
      </c>
      <c r="K4" s="7" t="s">
        <v>15</v>
      </c>
      <c r="L4" s="7" t="s">
        <v>16</v>
      </c>
      <c r="M4" s="7" t="s">
        <v>17</v>
      </c>
      <c r="N4" s="7" t="s">
        <v>18</v>
      </c>
      <c r="O4" s="7" t="s">
        <v>19</v>
      </c>
      <c r="P4" s="7" t="s">
        <v>20</v>
      </c>
      <c r="Q4" s="7" t="s">
        <v>21</v>
      </c>
      <c r="R4" s="7" t="s">
        <v>22</v>
      </c>
      <c r="S4" s="6" t="s">
        <v>23</v>
      </c>
      <c r="T4" s="7"/>
    </row>
    <row r="5" spans="2:26" ht="12.75" x14ac:dyDescent="0.2">
      <c r="B5" s="1" t="s">
        <v>25</v>
      </c>
      <c r="C5" s="8">
        <v>116.1</v>
      </c>
      <c r="D5" s="8">
        <v>116.1</v>
      </c>
      <c r="E5" s="8">
        <v>116.1</v>
      </c>
      <c r="F5" s="8">
        <v>113.4</v>
      </c>
      <c r="G5" s="8">
        <v>113.6</v>
      </c>
      <c r="H5" s="8">
        <v>113</v>
      </c>
      <c r="I5" s="8">
        <v>113.5</v>
      </c>
      <c r="J5" s="9">
        <v>113.5</v>
      </c>
      <c r="K5" s="9">
        <v>114</v>
      </c>
      <c r="L5" s="9"/>
      <c r="M5" s="9"/>
      <c r="N5" s="9"/>
      <c r="O5" s="9"/>
      <c r="P5" s="9"/>
      <c r="Q5" s="9"/>
      <c r="R5" s="9"/>
      <c r="S5" s="9"/>
      <c r="T5" s="8">
        <v>112</v>
      </c>
      <c r="U5" s="10">
        <f>C5-T5</f>
        <v>4.0999999999999943</v>
      </c>
      <c r="V5" s="11">
        <f>U5/C5</f>
        <v>3.5314384151593409E-2</v>
      </c>
      <c r="W5" s="10" t="e">
        <f>C5-#REF!</f>
        <v>#REF!</v>
      </c>
      <c r="X5" s="12" t="e">
        <f t="shared" ref="X5:X19" si="0">RANK(W5,$W$5:$W$19,0)</f>
        <v>#REF!</v>
      </c>
      <c r="Y5" s="11" t="e">
        <f>1-#REF!/C5</f>
        <v>#REF!</v>
      </c>
      <c r="Z5" s="12" t="e">
        <f t="shared" ref="Z5:Z19" si="1">RANK(Y5,$Y$5:$Y$19,0)</f>
        <v>#REF!</v>
      </c>
    </row>
    <row r="6" spans="2:26" ht="12.75" x14ac:dyDescent="0.2">
      <c r="B6" s="1" t="s">
        <v>26</v>
      </c>
      <c r="C6" s="9">
        <v>101.5</v>
      </c>
      <c r="D6" s="9">
        <v>101.7</v>
      </c>
      <c r="E6" s="9">
        <v>100.9</v>
      </c>
      <c r="F6" s="9">
        <v>101.1</v>
      </c>
      <c r="G6" s="9">
        <v>101</v>
      </c>
      <c r="H6" s="9">
        <v>102</v>
      </c>
      <c r="I6" s="9">
        <v>101.6</v>
      </c>
      <c r="J6" s="9">
        <v>102.4</v>
      </c>
      <c r="K6" s="9">
        <v>101.8</v>
      </c>
      <c r="L6" s="9"/>
      <c r="M6" s="9"/>
      <c r="N6" s="9"/>
      <c r="O6" s="9"/>
      <c r="P6" s="9"/>
      <c r="Q6" s="9"/>
      <c r="R6" s="9"/>
      <c r="S6" s="9"/>
      <c r="T6" s="9">
        <v>98</v>
      </c>
      <c r="U6" s="13">
        <f>C6-T6</f>
        <v>3.5</v>
      </c>
      <c r="V6" s="11">
        <f>U6/C6</f>
        <v>3.4482758620689655E-2</v>
      </c>
      <c r="W6" s="13" t="e">
        <f>C6-#REF!</f>
        <v>#REF!</v>
      </c>
      <c r="X6" s="12" t="e">
        <f t="shared" si="0"/>
        <v>#REF!</v>
      </c>
      <c r="Y6" s="11" t="e">
        <f>1-#REF!/C6</f>
        <v>#REF!</v>
      </c>
      <c r="Z6" s="12" t="e">
        <f t="shared" si="1"/>
        <v>#REF!</v>
      </c>
    </row>
    <row r="7" spans="2:26" ht="12.75" x14ac:dyDescent="0.2">
      <c r="B7" s="1" t="s">
        <v>27</v>
      </c>
      <c r="C7" s="9">
        <v>116.3</v>
      </c>
      <c r="D7" s="9">
        <v>116</v>
      </c>
      <c r="E7" s="9">
        <v>114</v>
      </c>
      <c r="F7" s="9">
        <v>114.3</v>
      </c>
      <c r="G7" s="9">
        <v>112.6</v>
      </c>
      <c r="H7" s="9">
        <v>113.6</v>
      </c>
      <c r="I7" s="9">
        <v>112.4</v>
      </c>
      <c r="J7" s="9">
        <v>112</v>
      </c>
      <c r="K7" s="9">
        <v>111.8</v>
      </c>
      <c r="L7" s="9"/>
      <c r="M7" s="9"/>
      <c r="N7" s="9"/>
      <c r="O7" s="9"/>
      <c r="P7" s="9"/>
      <c r="Q7" s="9"/>
      <c r="R7" s="9"/>
      <c r="S7" s="9"/>
      <c r="T7" s="9">
        <v>113</v>
      </c>
      <c r="U7" s="13">
        <f>C7-T7</f>
        <v>3.2999999999999972</v>
      </c>
      <c r="V7" s="11">
        <f>U7/C7</f>
        <v>2.8374892519346495E-2</v>
      </c>
      <c r="W7" s="13" t="e">
        <f>C7-#REF!</f>
        <v>#REF!</v>
      </c>
      <c r="X7" s="12" t="e">
        <f t="shared" si="0"/>
        <v>#REF!</v>
      </c>
      <c r="Y7" s="11" t="e">
        <f>1-#REF!/C7</f>
        <v>#REF!</v>
      </c>
      <c r="Z7" s="12" t="e">
        <f t="shared" si="1"/>
        <v>#REF!</v>
      </c>
    </row>
    <row r="8" spans="2:26" ht="12.75" x14ac:dyDescent="0.2">
      <c r="B8" s="1" t="s">
        <v>28</v>
      </c>
      <c r="C8" s="9">
        <v>87.7</v>
      </c>
      <c r="D8" s="9">
        <v>88</v>
      </c>
      <c r="E8" s="9">
        <v>88</v>
      </c>
      <c r="F8" s="9">
        <v>87.7</v>
      </c>
      <c r="G8" s="9">
        <v>87.7</v>
      </c>
      <c r="H8" s="9">
        <v>87.2</v>
      </c>
      <c r="I8" s="9">
        <v>88</v>
      </c>
      <c r="J8" s="9">
        <v>87.3</v>
      </c>
      <c r="K8" s="9">
        <v>87.7</v>
      </c>
      <c r="L8" s="9"/>
      <c r="M8" s="9"/>
      <c r="N8" s="9"/>
      <c r="O8" s="9"/>
      <c r="P8" s="9"/>
      <c r="Q8" s="9"/>
      <c r="R8" s="9"/>
      <c r="S8" s="9"/>
      <c r="T8" s="9">
        <v>85</v>
      </c>
      <c r="U8" s="13">
        <f>C8-T8</f>
        <v>2.7000000000000028</v>
      </c>
      <c r="V8" s="11">
        <f>U8/C8</f>
        <v>3.078677309007985E-2</v>
      </c>
      <c r="W8" s="13" t="e">
        <f>C8-#REF!</f>
        <v>#REF!</v>
      </c>
      <c r="X8" s="12" t="e">
        <f t="shared" si="0"/>
        <v>#REF!</v>
      </c>
      <c r="Y8" s="11" t="e">
        <f>1-#REF!/C8</f>
        <v>#REF!</v>
      </c>
      <c r="Z8" s="12" t="e">
        <f t="shared" si="1"/>
        <v>#REF!</v>
      </c>
    </row>
    <row r="9" spans="2:26" ht="12.75" x14ac:dyDescent="0.2">
      <c r="B9" s="1" t="s">
        <v>29</v>
      </c>
      <c r="C9" s="9">
        <v>88.3</v>
      </c>
      <c r="D9" s="9">
        <v>87.2</v>
      </c>
      <c r="E9" s="9">
        <v>86.1</v>
      </c>
      <c r="F9" s="9">
        <v>85.6</v>
      </c>
      <c r="G9" s="9">
        <v>84.7</v>
      </c>
      <c r="H9" s="9">
        <v>83.8</v>
      </c>
      <c r="I9" s="9">
        <v>85</v>
      </c>
      <c r="J9" s="9">
        <v>83.8</v>
      </c>
      <c r="K9" s="9">
        <v>83.4</v>
      </c>
      <c r="L9" s="9"/>
      <c r="M9" s="9"/>
      <c r="N9" s="9"/>
      <c r="O9" s="9"/>
      <c r="P9" s="9"/>
      <c r="Q9" s="9"/>
      <c r="R9" s="9"/>
      <c r="S9" s="9"/>
      <c r="T9" s="9">
        <v>80</v>
      </c>
      <c r="U9" s="13">
        <f>C9-T9</f>
        <v>8.2999999999999972</v>
      </c>
      <c r="V9" s="11">
        <f>U9/C9</f>
        <v>9.3997734994337459E-2</v>
      </c>
      <c r="W9" s="13" t="e">
        <f>C9-#REF!</f>
        <v>#REF!</v>
      </c>
      <c r="X9" s="12" t="e">
        <f t="shared" si="0"/>
        <v>#REF!</v>
      </c>
      <c r="Y9" s="11" t="e">
        <f>1-#REF!/C9</f>
        <v>#REF!</v>
      </c>
      <c r="Z9" s="12" t="e">
        <f t="shared" si="1"/>
        <v>#REF!</v>
      </c>
    </row>
    <row r="10" spans="2:26" ht="12.75" x14ac:dyDescent="0.2">
      <c r="B10" s="1" t="s">
        <v>30</v>
      </c>
      <c r="C10" s="9">
        <v>105.3</v>
      </c>
      <c r="D10" s="9">
        <v>104</v>
      </c>
      <c r="E10" s="9">
        <v>104</v>
      </c>
      <c r="F10" s="9">
        <v>102.6</v>
      </c>
      <c r="G10" s="9">
        <v>101.9</v>
      </c>
      <c r="H10" s="9">
        <v>102.3</v>
      </c>
      <c r="I10" s="9">
        <v>102.3</v>
      </c>
      <c r="J10" s="9">
        <v>101.3</v>
      </c>
      <c r="K10" s="9">
        <v>101.6</v>
      </c>
      <c r="L10" s="9"/>
      <c r="M10" s="9"/>
      <c r="N10" s="9"/>
      <c r="O10" s="9"/>
      <c r="P10" s="9"/>
      <c r="Q10" s="9"/>
      <c r="R10" s="9"/>
      <c r="S10" s="9"/>
      <c r="T10" s="9">
        <v>95</v>
      </c>
      <c r="U10" s="13">
        <f>C10-T10</f>
        <v>10.299999999999997</v>
      </c>
      <c r="V10" s="11">
        <f>U10/C10</f>
        <v>9.7815764482431122E-2</v>
      </c>
      <c r="W10" s="13" t="e">
        <f>C10-#REF!</f>
        <v>#REF!</v>
      </c>
      <c r="X10" s="12" t="e">
        <f t="shared" si="0"/>
        <v>#REF!</v>
      </c>
      <c r="Y10" s="11" t="e">
        <f>1-#REF!/C10</f>
        <v>#REF!</v>
      </c>
      <c r="Z10" s="12" t="e">
        <f t="shared" si="1"/>
        <v>#REF!</v>
      </c>
    </row>
    <row r="11" spans="2:26" ht="12.75" x14ac:dyDescent="0.2">
      <c r="B11" s="1" t="s">
        <v>31</v>
      </c>
      <c r="C11" s="9">
        <v>92.3</v>
      </c>
      <c r="D11" s="9">
        <v>92.2</v>
      </c>
      <c r="E11" s="9">
        <v>91.8</v>
      </c>
      <c r="F11" s="9">
        <v>92.9</v>
      </c>
      <c r="G11" s="9">
        <v>93.3</v>
      </c>
      <c r="H11" s="9">
        <v>91.9</v>
      </c>
      <c r="I11" s="9">
        <v>92.5</v>
      </c>
      <c r="J11" s="9">
        <v>92.5</v>
      </c>
      <c r="K11" s="9">
        <v>92</v>
      </c>
      <c r="L11" s="9"/>
      <c r="M11" s="9"/>
      <c r="N11" s="9"/>
      <c r="O11" s="9"/>
      <c r="P11" s="9"/>
      <c r="Q11" s="9"/>
      <c r="R11" s="9"/>
      <c r="S11" s="9"/>
      <c r="T11" s="9">
        <v>89</v>
      </c>
      <c r="U11" s="13">
        <f>C11-T11</f>
        <v>3.2999999999999972</v>
      </c>
      <c r="V11" s="11">
        <f>U11/C11</f>
        <v>3.5752979414951216E-2</v>
      </c>
      <c r="W11" s="13" t="e">
        <f>C11-#REF!</f>
        <v>#REF!</v>
      </c>
      <c r="X11" s="12" t="e">
        <f t="shared" si="0"/>
        <v>#REF!</v>
      </c>
      <c r="Y11" s="11" t="e">
        <f>1-#REF!/C11</f>
        <v>#REF!</v>
      </c>
      <c r="Z11" s="12" t="e">
        <f t="shared" si="1"/>
        <v>#REF!</v>
      </c>
    </row>
    <row r="12" spans="2:26" ht="12.75" x14ac:dyDescent="0.2">
      <c r="B12" s="1" t="s">
        <v>32</v>
      </c>
      <c r="C12" s="9">
        <v>108.4</v>
      </c>
      <c r="D12" s="9">
        <v>107</v>
      </c>
      <c r="E12" s="9">
        <v>107.4</v>
      </c>
      <c r="F12" s="9">
        <v>106.5</v>
      </c>
      <c r="G12" s="9">
        <v>104</v>
      </c>
      <c r="H12" s="9">
        <v>102.9</v>
      </c>
      <c r="I12" s="9">
        <v>103</v>
      </c>
      <c r="J12" s="9">
        <v>101.9</v>
      </c>
      <c r="K12" s="9">
        <v>102.3</v>
      </c>
      <c r="L12" s="9"/>
      <c r="M12" s="9"/>
      <c r="N12" s="9"/>
      <c r="O12" s="9"/>
      <c r="P12" s="9"/>
      <c r="Q12" s="9"/>
      <c r="R12" s="9"/>
      <c r="S12" s="9"/>
      <c r="T12" s="9">
        <v>100</v>
      </c>
      <c r="U12" s="13">
        <f>C12-T12</f>
        <v>8.4000000000000057</v>
      </c>
      <c r="V12" s="11">
        <f>U12/C12</f>
        <v>7.7490774907749124E-2</v>
      </c>
      <c r="W12" s="13" t="e">
        <f>C12-#REF!</f>
        <v>#REF!</v>
      </c>
      <c r="X12" s="12" t="e">
        <f t="shared" si="0"/>
        <v>#REF!</v>
      </c>
      <c r="Y12" s="11" t="e">
        <f>1-#REF!/C12</f>
        <v>#REF!</v>
      </c>
      <c r="Z12" s="12" t="e">
        <f t="shared" si="1"/>
        <v>#REF!</v>
      </c>
    </row>
    <row r="13" spans="2:26" ht="12.75" x14ac:dyDescent="0.2">
      <c r="B13" s="1" t="s">
        <v>33</v>
      </c>
      <c r="C13" s="9">
        <v>102.1</v>
      </c>
      <c r="D13" s="9">
        <v>102.2</v>
      </c>
      <c r="E13" s="9">
        <v>102.8</v>
      </c>
      <c r="F13" s="9">
        <v>101.7</v>
      </c>
      <c r="G13" s="9">
        <v>101</v>
      </c>
      <c r="H13" s="9">
        <v>100.3</v>
      </c>
      <c r="I13" s="9">
        <v>99.9</v>
      </c>
      <c r="J13" s="9">
        <v>99.4</v>
      </c>
      <c r="K13" s="9">
        <v>99.2</v>
      </c>
      <c r="L13" s="9"/>
      <c r="M13" s="9"/>
      <c r="N13" s="9"/>
      <c r="O13" s="9"/>
      <c r="P13" s="9"/>
      <c r="Q13" s="9"/>
      <c r="R13" s="9"/>
      <c r="S13" s="9"/>
      <c r="T13" s="9">
        <v>95</v>
      </c>
      <c r="U13" s="13">
        <f>C13-T13</f>
        <v>7.0999999999999943</v>
      </c>
      <c r="V13" s="11">
        <f>U13/C13</f>
        <v>6.9539666993143928E-2</v>
      </c>
      <c r="W13" s="13" t="e">
        <f>C13-#REF!</f>
        <v>#REF!</v>
      </c>
      <c r="X13" s="12" t="e">
        <f t="shared" si="0"/>
        <v>#REF!</v>
      </c>
      <c r="Y13" s="11" t="e">
        <f>1-#REF!/C13</f>
        <v>#REF!</v>
      </c>
      <c r="Z13" s="12" t="e">
        <f t="shared" si="1"/>
        <v>#REF!</v>
      </c>
    </row>
    <row r="14" spans="2:26" ht="12.75" x14ac:dyDescent="0.2">
      <c r="B14" s="1" t="s">
        <v>34</v>
      </c>
      <c r="C14" s="9">
        <v>97.2</v>
      </c>
      <c r="D14" s="9">
        <v>97.7</v>
      </c>
      <c r="E14" s="9">
        <v>97.7</v>
      </c>
      <c r="F14" s="9">
        <v>96.9</v>
      </c>
      <c r="G14" s="9">
        <v>97.5</v>
      </c>
      <c r="H14" s="9">
        <v>97.5</v>
      </c>
      <c r="I14" s="9">
        <v>97.6</v>
      </c>
      <c r="J14" s="9">
        <v>97.2</v>
      </c>
      <c r="K14" s="9">
        <v>96.7</v>
      </c>
      <c r="L14" s="9"/>
      <c r="M14" s="9"/>
      <c r="N14" s="9"/>
      <c r="O14" s="9"/>
      <c r="P14" s="9"/>
      <c r="Q14" s="9"/>
      <c r="R14" s="9"/>
      <c r="S14" s="9"/>
      <c r="T14" s="9">
        <v>95.9</v>
      </c>
      <c r="U14" s="13">
        <f>C14-T14</f>
        <v>1.2999999999999972</v>
      </c>
      <c r="V14" s="11">
        <f>U14/C14</f>
        <v>1.3374485596707789E-2</v>
      </c>
      <c r="W14" s="13" t="e">
        <f>C14-#REF!</f>
        <v>#REF!</v>
      </c>
      <c r="X14" s="12" t="e">
        <f t="shared" si="0"/>
        <v>#REF!</v>
      </c>
      <c r="Y14" s="11" t="e">
        <f>1-#REF!/C14</f>
        <v>#REF!</v>
      </c>
      <c r="Z14" s="12" t="e">
        <f t="shared" si="1"/>
        <v>#REF!</v>
      </c>
    </row>
    <row r="15" spans="2:26" ht="12.75" x14ac:dyDescent="0.2">
      <c r="B15" s="1" t="s">
        <v>35</v>
      </c>
      <c r="C15" s="9">
        <v>80.099999999999994</v>
      </c>
      <c r="D15" s="9">
        <v>79.900000000000006</v>
      </c>
      <c r="E15" s="9">
        <v>79.5</v>
      </c>
      <c r="F15" s="9">
        <v>77.3</v>
      </c>
      <c r="G15" s="9">
        <v>77.7</v>
      </c>
      <c r="H15" s="9">
        <v>75.7</v>
      </c>
      <c r="I15" s="9">
        <v>75.2</v>
      </c>
      <c r="J15" s="9">
        <v>75.400000000000006</v>
      </c>
      <c r="K15" s="9">
        <v>73.900000000000006</v>
      </c>
      <c r="L15" s="9"/>
      <c r="M15" s="9"/>
      <c r="N15" s="9"/>
      <c r="O15" s="9"/>
      <c r="P15" s="9"/>
      <c r="Q15" s="9"/>
      <c r="R15" s="9"/>
      <c r="S15" s="9"/>
      <c r="T15" s="9">
        <v>72</v>
      </c>
      <c r="U15" s="13">
        <f>C15-T15</f>
        <v>8.0999999999999943</v>
      </c>
      <c r="V15" s="11">
        <f>U15/C15</f>
        <v>0.10112359550561792</v>
      </c>
      <c r="W15" s="13" t="e">
        <f>C15-#REF!</f>
        <v>#REF!</v>
      </c>
      <c r="X15" s="12" t="e">
        <f t="shared" si="0"/>
        <v>#REF!</v>
      </c>
      <c r="Y15" s="11" t="e">
        <f>1-#REF!/C15</f>
        <v>#REF!</v>
      </c>
      <c r="Z15" s="12" t="e">
        <f t="shared" si="1"/>
        <v>#REF!</v>
      </c>
    </row>
    <row r="16" spans="2:26" ht="12.75" x14ac:dyDescent="0.2">
      <c r="B16" s="1" t="s">
        <v>36</v>
      </c>
      <c r="C16" s="9">
        <v>63.1</v>
      </c>
      <c r="D16" s="9">
        <v>63.1</v>
      </c>
      <c r="E16" s="9">
        <v>63.1</v>
      </c>
      <c r="F16" s="9">
        <v>63.4</v>
      </c>
      <c r="G16" s="9">
        <v>62.7</v>
      </c>
      <c r="H16" s="9">
        <v>61.7</v>
      </c>
      <c r="I16" s="9">
        <v>61.9</v>
      </c>
      <c r="J16" s="9">
        <v>63</v>
      </c>
      <c r="K16" s="9">
        <v>62</v>
      </c>
      <c r="L16" s="9"/>
      <c r="M16" s="9"/>
      <c r="N16" s="9"/>
      <c r="O16" s="9"/>
      <c r="P16" s="9"/>
      <c r="Q16" s="9"/>
      <c r="R16" s="9"/>
      <c r="S16" s="9"/>
      <c r="T16" s="9">
        <v>55</v>
      </c>
      <c r="U16" s="13">
        <f>C16-T16</f>
        <v>8.1000000000000014</v>
      </c>
      <c r="V16" s="11">
        <f>U16/C16</f>
        <v>0.12836767036450081</v>
      </c>
      <c r="W16" s="13" t="e">
        <f>C16-#REF!</f>
        <v>#REF!</v>
      </c>
      <c r="X16" s="12" t="e">
        <f t="shared" si="0"/>
        <v>#REF!</v>
      </c>
      <c r="Y16" s="11" t="e">
        <f>1-#REF!/C16</f>
        <v>#REF!</v>
      </c>
      <c r="Z16" s="12" t="e">
        <f t="shared" si="1"/>
        <v>#REF!</v>
      </c>
    </row>
    <row r="17" spans="2:26" ht="12.75" x14ac:dyDescent="0.2">
      <c r="B17" s="1" t="s">
        <v>37</v>
      </c>
      <c r="C17" s="9">
        <v>68.599999999999994</v>
      </c>
      <c r="D17" s="9">
        <v>68.400000000000006</v>
      </c>
      <c r="E17" s="9">
        <v>69.2</v>
      </c>
      <c r="F17" s="9">
        <v>69.7</v>
      </c>
      <c r="G17" s="9">
        <v>69.400000000000006</v>
      </c>
      <c r="H17" s="9">
        <v>69.900000000000006</v>
      </c>
      <c r="I17" s="9">
        <v>68.900000000000006</v>
      </c>
      <c r="J17" s="9">
        <v>69.599999999999994</v>
      </c>
      <c r="K17" s="9">
        <v>70.099999999999994</v>
      </c>
      <c r="L17" s="9"/>
      <c r="M17" s="9"/>
      <c r="N17" s="9"/>
      <c r="O17" s="9"/>
      <c r="P17" s="9"/>
      <c r="Q17" s="9"/>
      <c r="R17" s="9"/>
      <c r="S17" s="9"/>
      <c r="T17" s="9">
        <v>72</v>
      </c>
      <c r="U17" s="13">
        <f>C17-T17</f>
        <v>-3.4000000000000057</v>
      </c>
      <c r="V17" s="11">
        <f>U17/C17</f>
        <v>-4.9562682215743524E-2</v>
      </c>
      <c r="W17" s="13" t="e">
        <f>C17-#REF!</f>
        <v>#REF!</v>
      </c>
      <c r="X17" s="12" t="e">
        <f t="shared" si="0"/>
        <v>#REF!</v>
      </c>
      <c r="Y17" s="11" t="e">
        <f>1-#REF!/C17</f>
        <v>#REF!</v>
      </c>
      <c r="Z17" s="12" t="e">
        <f t="shared" si="1"/>
        <v>#REF!</v>
      </c>
    </row>
    <row r="18" spans="2:26" ht="12.75" x14ac:dyDescent="0.2">
      <c r="B18" s="1" t="s">
        <v>38</v>
      </c>
      <c r="C18" s="9">
        <v>103</v>
      </c>
      <c r="D18" s="9">
        <v>103</v>
      </c>
      <c r="E18" s="9">
        <v>103</v>
      </c>
      <c r="F18" s="9">
        <v>103</v>
      </c>
      <c r="G18" s="9">
        <v>103</v>
      </c>
      <c r="H18" s="9">
        <v>103</v>
      </c>
      <c r="I18" s="9">
        <v>103</v>
      </c>
      <c r="J18" s="9">
        <v>102.2</v>
      </c>
      <c r="K18" s="9">
        <v>102.6</v>
      </c>
      <c r="L18" s="9"/>
      <c r="M18" s="9"/>
      <c r="N18" s="9"/>
      <c r="O18" s="9"/>
      <c r="P18" s="9"/>
      <c r="Q18" s="9"/>
      <c r="R18" s="9"/>
      <c r="S18" s="9"/>
      <c r="T18" s="9">
        <v>97</v>
      </c>
      <c r="U18" s="13">
        <f>I18-T18</f>
        <v>6</v>
      </c>
      <c r="V18" s="11">
        <f>U18/I18</f>
        <v>5.8252427184466021E-2</v>
      </c>
      <c r="W18" s="13" t="e">
        <f>C18-#REF!</f>
        <v>#REF!</v>
      </c>
      <c r="X18" s="12" t="e">
        <f t="shared" si="0"/>
        <v>#REF!</v>
      </c>
      <c r="Y18" s="11" t="e">
        <f>1-#REF!/C18</f>
        <v>#REF!</v>
      </c>
      <c r="Z18" s="12" t="e">
        <f t="shared" si="1"/>
        <v>#REF!</v>
      </c>
    </row>
    <row r="19" spans="2:26" ht="12.75" x14ac:dyDescent="0.2">
      <c r="B19" s="1" t="s">
        <v>39</v>
      </c>
      <c r="C19" s="9">
        <v>93.6</v>
      </c>
      <c r="D19" s="9">
        <v>93.6</v>
      </c>
      <c r="E19" s="9">
        <v>93.6</v>
      </c>
      <c r="F19" s="9">
        <v>93.6</v>
      </c>
      <c r="G19" s="9">
        <v>93.6</v>
      </c>
      <c r="H19" s="9">
        <v>93.6</v>
      </c>
      <c r="I19" s="9">
        <v>93.6</v>
      </c>
      <c r="J19" s="9">
        <v>92.4</v>
      </c>
      <c r="K19" s="9">
        <v>92.8</v>
      </c>
      <c r="L19" s="9"/>
      <c r="M19" s="9"/>
      <c r="N19" s="9"/>
      <c r="O19" s="9"/>
      <c r="P19" s="9"/>
      <c r="Q19" s="9"/>
      <c r="R19" s="9"/>
      <c r="S19" s="9"/>
      <c r="T19" s="9">
        <v>83.6</v>
      </c>
      <c r="U19" s="13">
        <f>I19-T19</f>
        <v>10</v>
      </c>
      <c r="V19" s="11">
        <f>U19/I19</f>
        <v>0.10683760683760685</v>
      </c>
      <c r="W19" s="13" t="e">
        <f>C19-#REF!</f>
        <v>#REF!</v>
      </c>
      <c r="X19" s="12" t="e">
        <f t="shared" si="0"/>
        <v>#REF!</v>
      </c>
      <c r="Y19" s="11" t="e">
        <f>1-#REF!/C19</f>
        <v>#REF!</v>
      </c>
      <c r="Z19" s="12" t="e">
        <f t="shared" si="1"/>
        <v>#REF!</v>
      </c>
    </row>
    <row r="23" spans="2:26" ht="12.75" x14ac:dyDescent="0.2">
      <c r="B23" s="1" t="s">
        <v>40</v>
      </c>
      <c r="C23" s="9">
        <v>66.5</v>
      </c>
      <c r="D23" s="9">
        <v>66.5</v>
      </c>
      <c r="E23" s="9">
        <v>66.5</v>
      </c>
      <c r="F23" s="9">
        <v>66.5</v>
      </c>
      <c r="G23" s="9">
        <v>66.5</v>
      </c>
      <c r="H23" s="9">
        <v>66.5</v>
      </c>
      <c r="I23" s="9">
        <v>66.5</v>
      </c>
      <c r="J23" s="9">
        <v>63.8</v>
      </c>
      <c r="K23" s="9">
        <v>64.900000000000006</v>
      </c>
      <c r="L23" s="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4:T81"/>
  <sheetViews>
    <sheetView workbookViewId="0"/>
  </sheetViews>
  <sheetFormatPr defaultColWidth="12.5703125" defaultRowHeight="15.75" customHeight="1" x14ac:dyDescent="0.2"/>
  <cols>
    <col min="18" max="18" width="20.42578125" customWidth="1"/>
    <col min="19" max="19" width="14.140625" customWidth="1"/>
  </cols>
  <sheetData>
    <row r="4" spans="2:19" x14ac:dyDescent="0.2">
      <c r="C4" s="12" t="str">
        <f>'2026 tavasz'!C4</f>
        <v>4. hét</v>
      </c>
      <c r="D4" s="12" t="str">
        <f>'2026 tavasz'!D4</f>
        <v>5. hét</v>
      </c>
      <c r="E4" s="12" t="str">
        <f>'2026 tavasz'!E4</f>
        <v>6 .hét</v>
      </c>
      <c r="F4" s="12" t="str">
        <f>'2026 tavasz'!F4</f>
        <v>7. hét</v>
      </c>
      <c r="G4" s="12" t="str">
        <f>'2026 tavasz'!G4</f>
        <v>8. hét</v>
      </c>
      <c r="H4" s="12" t="str">
        <f>'2026 tavasz'!H4</f>
        <v>9 .hét</v>
      </c>
      <c r="I4" s="12" t="str">
        <f>'2026 tavasz'!I4</f>
        <v>10. hét</v>
      </c>
      <c r="J4" s="12" t="str">
        <f>'2026 tavasz'!J4</f>
        <v>11. hét</v>
      </c>
      <c r="K4" s="12" t="str">
        <f>'2026 tavasz'!K4</f>
        <v>12 .hét</v>
      </c>
      <c r="L4" s="12" t="str">
        <f>'2026 tavasz'!L4</f>
        <v>13. hét</v>
      </c>
      <c r="M4" s="12" t="str">
        <f>'2026 tavasz'!M4</f>
        <v>14. hét</v>
      </c>
      <c r="N4" s="12" t="str">
        <f>'2026 tavasz'!N4</f>
        <v>15 .hét</v>
      </c>
      <c r="O4" s="12" t="str">
        <f>'2026 tavasz'!O4</f>
        <v>16. hét</v>
      </c>
      <c r="P4" s="12" t="str">
        <f>'2026 tavasz'!P4</f>
        <v>17. hét</v>
      </c>
      <c r="Q4" s="12" t="str">
        <f>'2026 tavasz'!Q4</f>
        <v>18 .hét</v>
      </c>
      <c r="R4" s="12">
        <f>'2026 tavasz'!T4</f>
        <v>0</v>
      </c>
      <c r="S4" s="1" t="s">
        <v>41</v>
      </c>
    </row>
    <row r="5" spans="2:19" x14ac:dyDescent="0.2">
      <c r="B5" s="12" t="str">
        <f>'2026 tavasz'!B5</f>
        <v>Barcsik Kristóf</v>
      </c>
      <c r="C5" s="13">
        <f>'2026 tavasz'!C5</f>
        <v>116.1</v>
      </c>
      <c r="D5" s="14">
        <f>'2026 tavasz'!D5</f>
        <v>116.1</v>
      </c>
      <c r="E5" s="14">
        <f>'2026 tavasz'!E5</f>
        <v>116.1</v>
      </c>
      <c r="F5" s="14">
        <f>'2026 tavasz'!F5</f>
        <v>113.4</v>
      </c>
      <c r="G5" s="14">
        <f>'2026 tavasz'!G5</f>
        <v>113.6</v>
      </c>
      <c r="H5" s="14">
        <f>'2026 tavasz'!H5</f>
        <v>113</v>
      </c>
      <c r="I5" s="14">
        <f>'2026 tavasz'!I5</f>
        <v>113.5</v>
      </c>
      <c r="J5" s="14">
        <f>'2026 tavasz'!J5</f>
        <v>113.5</v>
      </c>
      <c r="K5" s="14">
        <f>'2026 tavasz'!K5</f>
        <v>114</v>
      </c>
      <c r="L5" s="14">
        <f>'2026 tavasz'!L5</f>
        <v>0</v>
      </c>
      <c r="M5" s="14">
        <f>'2026 tavasz'!M5</f>
        <v>0</v>
      </c>
      <c r="N5" s="14">
        <f>'2026 tavasz'!N5</f>
        <v>0</v>
      </c>
      <c r="O5" s="14">
        <f>'2026 tavasz'!O5</f>
        <v>0</v>
      </c>
      <c r="P5" s="14">
        <f>'2026 tavasz'!P5</f>
        <v>0</v>
      </c>
      <c r="Q5" s="14">
        <f>'2026 tavasz'!Q5</f>
        <v>0</v>
      </c>
      <c r="R5" s="14">
        <f>'2026 tavasz'!R5</f>
        <v>0</v>
      </c>
      <c r="S5" s="14">
        <f t="shared" ref="S5:S17" si="0">C5-R5</f>
        <v>116.1</v>
      </c>
    </row>
    <row r="6" spans="2:19" x14ac:dyDescent="0.2">
      <c r="B6" s="12" t="str">
        <f>'2026 tavasz'!B6</f>
        <v>Galgóczy Ádám</v>
      </c>
      <c r="C6" s="13">
        <f>'2026 tavasz'!C6</f>
        <v>101.5</v>
      </c>
      <c r="D6" s="14">
        <f>'2026 tavasz'!D6</f>
        <v>101.7</v>
      </c>
      <c r="E6" s="14">
        <f>'2026 tavasz'!E6</f>
        <v>100.9</v>
      </c>
      <c r="F6" s="14">
        <f>'2026 tavasz'!F6</f>
        <v>101.1</v>
      </c>
      <c r="G6" s="14">
        <f>'2026 tavasz'!G6</f>
        <v>101</v>
      </c>
      <c r="H6" s="14">
        <f>'2026 tavasz'!H6</f>
        <v>102</v>
      </c>
      <c r="I6" s="14">
        <f>'2026 tavasz'!I6</f>
        <v>101.6</v>
      </c>
      <c r="J6" s="14">
        <f>'2026 tavasz'!J6</f>
        <v>102.4</v>
      </c>
      <c r="K6" s="14">
        <f>'2026 tavasz'!K6</f>
        <v>101.8</v>
      </c>
      <c r="L6" s="14">
        <f>'2026 tavasz'!L6</f>
        <v>0</v>
      </c>
      <c r="M6" s="14">
        <f>'2026 tavasz'!M6</f>
        <v>0</v>
      </c>
      <c r="N6" s="14">
        <f>'2026 tavasz'!N6</f>
        <v>0</v>
      </c>
      <c r="O6" s="14">
        <f>'2026 tavasz'!O6</f>
        <v>0</v>
      </c>
      <c r="P6" s="14">
        <f>'2026 tavasz'!P6</f>
        <v>0</v>
      </c>
      <c r="Q6" s="14">
        <f>'2026 tavasz'!Q6</f>
        <v>0</v>
      </c>
      <c r="R6" s="14">
        <f>'2026 tavasz'!R6</f>
        <v>0</v>
      </c>
      <c r="S6" s="14">
        <f t="shared" si="0"/>
        <v>101.5</v>
      </c>
    </row>
    <row r="7" spans="2:19" x14ac:dyDescent="0.2">
      <c r="B7" s="12" t="str">
        <f>'2026 tavasz'!B7</f>
        <v>Jávor Tamás</v>
      </c>
      <c r="C7" s="13">
        <f>'2026 tavasz'!C7</f>
        <v>116.3</v>
      </c>
      <c r="D7" s="14">
        <f>'2026 tavasz'!D7</f>
        <v>116</v>
      </c>
      <c r="E7" s="14">
        <f>'2026 tavasz'!E7</f>
        <v>114</v>
      </c>
      <c r="F7" s="14">
        <f>'2026 tavasz'!F7</f>
        <v>114.3</v>
      </c>
      <c r="G7" s="14">
        <f>'2026 tavasz'!G7</f>
        <v>112.6</v>
      </c>
      <c r="H7" s="14">
        <f>'2026 tavasz'!H7</f>
        <v>113.6</v>
      </c>
      <c r="I7" s="14">
        <f>'2026 tavasz'!I7</f>
        <v>112.4</v>
      </c>
      <c r="J7" s="14">
        <f>'2026 tavasz'!J7</f>
        <v>112</v>
      </c>
      <c r="K7" s="14">
        <f>'2026 tavasz'!K7</f>
        <v>111.8</v>
      </c>
      <c r="L7" s="14">
        <f>'2026 tavasz'!L7</f>
        <v>0</v>
      </c>
      <c r="M7" s="14">
        <f>'2026 tavasz'!M7</f>
        <v>0</v>
      </c>
      <c r="N7" s="14">
        <f>'2026 tavasz'!N7</f>
        <v>0</v>
      </c>
      <c r="O7" s="14">
        <f>'2026 tavasz'!O7</f>
        <v>0</v>
      </c>
      <c r="P7" s="14">
        <f>'2026 tavasz'!P7</f>
        <v>0</v>
      </c>
      <c r="Q7" s="14">
        <f>'2026 tavasz'!Q7</f>
        <v>0</v>
      </c>
      <c r="R7" s="14">
        <f>'2026 tavasz'!R7</f>
        <v>0</v>
      </c>
      <c r="S7" s="14">
        <f t="shared" si="0"/>
        <v>116.3</v>
      </c>
    </row>
    <row r="8" spans="2:19" x14ac:dyDescent="0.2">
      <c r="B8" s="12" t="str">
        <f>'2026 tavasz'!B8</f>
        <v>Krekuska Gábor</v>
      </c>
      <c r="C8" s="13">
        <f>'2026 tavasz'!C8</f>
        <v>87.7</v>
      </c>
      <c r="D8" s="14">
        <f>'2026 tavasz'!D8</f>
        <v>88</v>
      </c>
      <c r="E8" s="14">
        <f>'2026 tavasz'!E8</f>
        <v>88</v>
      </c>
      <c r="F8" s="14">
        <f>'2026 tavasz'!F8</f>
        <v>87.7</v>
      </c>
      <c r="G8" s="14">
        <f>'2026 tavasz'!G8</f>
        <v>87.7</v>
      </c>
      <c r="H8" s="14">
        <f>'2026 tavasz'!H8</f>
        <v>87.2</v>
      </c>
      <c r="I8" s="14">
        <f>'2026 tavasz'!I8</f>
        <v>88</v>
      </c>
      <c r="J8" s="14">
        <f>'2026 tavasz'!J8</f>
        <v>87.3</v>
      </c>
      <c r="K8" s="14">
        <f>'2026 tavasz'!K8</f>
        <v>87.7</v>
      </c>
      <c r="L8" s="14">
        <f>'2026 tavasz'!L8</f>
        <v>0</v>
      </c>
      <c r="M8" s="14">
        <f>'2026 tavasz'!M8</f>
        <v>0</v>
      </c>
      <c r="N8" s="14">
        <f>'2026 tavasz'!N8</f>
        <v>0</v>
      </c>
      <c r="O8" s="14">
        <f>'2026 tavasz'!O8</f>
        <v>0</v>
      </c>
      <c r="P8" s="14">
        <f>'2026 tavasz'!P8</f>
        <v>0</v>
      </c>
      <c r="Q8" s="14">
        <f>'2026 tavasz'!Q8</f>
        <v>0</v>
      </c>
      <c r="R8" s="14">
        <f>'2026 tavasz'!R8</f>
        <v>0</v>
      </c>
      <c r="S8" s="14">
        <f t="shared" si="0"/>
        <v>87.7</v>
      </c>
    </row>
    <row r="9" spans="2:19" x14ac:dyDescent="0.2">
      <c r="B9" s="12" t="str">
        <f>'2026 tavasz'!B9</f>
        <v>Molnár György</v>
      </c>
      <c r="C9" s="13">
        <f>'2026 tavasz'!C9</f>
        <v>88.3</v>
      </c>
      <c r="D9" s="14">
        <f>'2026 tavasz'!D9</f>
        <v>87.2</v>
      </c>
      <c r="E9" s="14">
        <f>'2026 tavasz'!E9</f>
        <v>86.1</v>
      </c>
      <c r="F9" s="14">
        <f>'2026 tavasz'!F9</f>
        <v>85.6</v>
      </c>
      <c r="G9" s="14">
        <f>'2026 tavasz'!G9</f>
        <v>84.7</v>
      </c>
      <c r="H9" s="14">
        <f>'2026 tavasz'!H9</f>
        <v>83.8</v>
      </c>
      <c r="I9" s="14">
        <f>'2026 tavasz'!I9</f>
        <v>85</v>
      </c>
      <c r="J9" s="14">
        <f>'2026 tavasz'!J9</f>
        <v>83.8</v>
      </c>
      <c r="K9" s="14">
        <f>'2026 tavasz'!K9</f>
        <v>83.4</v>
      </c>
      <c r="L9" s="14">
        <f>'2026 tavasz'!L9</f>
        <v>0</v>
      </c>
      <c r="M9" s="14">
        <f>'2026 tavasz'!M9</f>
        <v>0</v>
      </c>
      <c r="N9" s="14">
        <f>'2026 tavasz'!N9</f>
        <v>0</v>
      </c>
      <c r="O9" s="14">
        <f>'2026 tavasz'!O9</f>
        <v>0</v>
      </c>
      <c r="P9" s="14">
        <f>'2026 tavasz'!P9</f>
        <v>0</v>
      </c>
      <c r="Q9" s="14">
        <f>'2026 tavasz'!Q9</f>
        <v>0</v>
      </c>
      <c r="R9" s="14">
        <f>'2026 tavasz'!R9</f>
        <v>0</v>
      </c>
      <c r="S9" s="14">
        <f t="shared" si="0"/>
        <v>88.3</v>
      </c>
    </row>
    <row r="10" spans="2:19" x14ac:dyDescent="0.2">
      <c r="B10" s="12" t="str">
        <f>'2026 tavasz'!B10</f>
        <v>Varga Szabolcs</v>
      </c>
      <c r="C10" s="13">
        <f>'2026 tavasz'!C10</f>
        <v>105.3</v>
      </c>
      <c r="D10" s="14">
        <f>'2026 tavasz'!D10</f>
        <v>104</v>
      </c>
      <c r="E10" s="14">
        <f>'2026 tavasz'!E10</f>
        <v>104</v>
      </c>
      <c r="F10" s="14">
        <f>'2026 tavasz'!F10</f>
        <v>102.6</v>
      </c>
      <c r="G10" s="14">
        <f>'2026 tavasz'!G10</f>
        <v>101.9</v>
      </c>
      <c r="H10" s="14">
        <f>'2026 tavasz'!H10</f>
        <v>102.3</v>
      </c>
      <c r="I10" s="14">
        <f>'2026 tavasz'!I10</f>
        <v>102.3</v>
      </c>
      <c r="J10" s="14">
        <f>'2026 tavasz'!J10</f>
        <v>101.3</v>
      </c>
      <c r="K10" s="14">
        <f>'2026 tavasz'!K10</f>
        <v>101.6</v>
      </c>
      <c r="L10" s="14">
        <f>'2026 tavasz'!L10</f>
        <v>0</v>
      </c>
      <c r="M10" s="14">
        <f>'2026 tavasz'!M10</f>
        <v>0</v>
      </c>
      <c r="N10" s="14">
        <f>'2026 tavasz'!N10</f>
        <v>0</v>
      </c>
      <c r="O10" s="14">
        <f>'2026 tavasz'!O10</f>
        <v>0</v>
      </c>
      <c r="P10" s="14">
        <f>'2026 tavasz'!P10</f>
        <v>0</v>
      </c>
      <c r="Q10" s="14">
        <f>'2026 tavasz'!Q10</f>
        <v>0</v>
      </c>
      <c r="R10" s="14">
        <f>'2026 tavasz'!R10</f>
        <v>0</v>
      </c>
      <c r="S10" s="14">
        <f t="shared" si="0"/>
        <v>105.3</v>
      </c>
    </row>
    <row r="11" spans="2:19" x14ac:dyDescent="0.2">
      <c r="B11" s="12" t="str">
        <f>'2026 tavasz'!B11</f>
        <v>Vaspál Gergő</v>
      </c>
      <c r="C11" s="13">
        <f>'2026 tavasz'!C11</f>
        <v>92.3</v>
      </c>
      <c r="D11" s="14">
        <f>'2026 tavasz'!D11</f>
        <v>92.2</v>
      </c>
      <c r="E11" s="14">
        <f>'2026 tavasz'!E11</f>
        <v>91.8</v>
      </c>
      <c r="F11" s="14">
        <f>'2026 tavasz'!F11</f>
        <v>92.9</v>
      </c>
      <c r="G11" s="14">
        <f>'2026 tavasz'!G11</f>
        <v>93.3</v>
      </c>
      <c r="H11" s="14">
        <f>'2026 tavasz'!H11</f>
        <v>91.9</v>
      </c>
      <c r="I11" s="14">
        <f>'2026 tavasz'!I11</f>
        <v>92.5</v>
      </c>
      <c r="J11" s="14">
        <f>'2026 tavasz'!J11</f>
        <v>92.5</v>
      </c>
      <c r="K11" s="14">
        <f>'2026 tavasz'!K11</f>
        <v>92</v>
      </c>
      <c r="L11" s="14">
        <f>'2026 tavasz'!L11</f>
        <v>0</v>
      </c>
      <c r="M11" s="14">
        <f>'2026 tavasz'!M11</f>
        <v>0</v>
      </c>
      <c r="N11" s="14">
        <f>'2026 tavasz'!N11</f>
        <v>0</v>
      </c>
      <c r="O11" s="14">
        <f>'2026 tavasz'!O11</f>
        <v>0</v>
      </c>
      <c r="P11" s="14">
        <f>'2026 tavasz'!P11</f>
        <v>0</v>
      </c>
      <c r="Q11" s="14">
        <f>'2026 tavasz'!Q11</f>
        <v>0</v>
      </c>
      <c r="R11" s="14">
        <f>'2026 tavasz'!R11</f>
        <v>0</v>
      </c>
      <c r="S11" s="14">
        <f t="shared" si="0"/>
        <v>92.3</v>
      </c>
    </row>
    <row r="12" spans="2:19" x14ac:dyDescent="0.2">
      <c r="B12" s="12" t="str">
        <f>'2026 tavasz'!B12</f>
        <v>Várnoki Ádám</v>
      </c>
      <c r="C12" s="13">
        <f>'2026 tavasz'!C12</f>
        <v>108.4</v>
      </c>
      <c r="D12" s="14">
        <f>'2026 tavasz'!D12</f>
        <v>107</v>
      </c>
      <c r="E12" s="14">
        <f>'2026 tavasz'!E12</f>
        <v>107.4</v>
      </c>
      <c r="F12" s="14">
        <f>'2026 tavasz'!F12</f>
        <v>106.5</v>
      </c>
      <c r="G12" s="14">
        <f>'2026 tavasz'!G12</f>
        <v>104</v>
      </c>
      <c r="H12" s="14">
        <f>'2026 tavasz'!H12</f>
        <v>102.9</v>
      </c>
      <c r="I12" s="14">
        <f>'2026 tavasz'!I12</f>
        <v>103</v>
      </c>
      <c r="J12" s="14">
        <f>'2026 tavasz'!J12</f>
        <v>101.9</v>
      </c>
      <c r="K12" s="14">
        <f>'2026 tavasz'!K12</f>
        <v>102.3</v>
      </c>
      <c r="L12" s="14">
        <f>'2026 tavasz'!L12</f>
        <v>0</v>
      </c>
      <c r="M12" s="14">
        <f>'2026 tavasz'!M12</f>
        <v>0</v>
      </c>
      <c r="N12" s="14">
        <f>'2026 tavasz'!N12</f>
        <v>0</v>
      </c>
      <c r="O12" s="14">
        <f>'2026 tavasz'!O12</f>
        <v>0</v>
      </c>
      <c r="P12" s="14">
        <f>'2026 tavasz'!P12</f>
        <v>0</v>
      </c>
      <c r="Q12" s="14">
        <f>'2026 tavasz'!Q12</f>
        <v>0</v>
      </c>
      <c r="R12" s="14">
        <f>'2026 tavasz'!R12</f>
        <v>0</v>
      </c>
      <c r="S12" s="14">
        <f t="shared" si="0"/>
        <v>108.4</v>
      </c>
    </row>
    <row r="13" spans="2:19" x14ac:dyDescent="0.2">
      <c r="B13" s="12" t="str">
        <f>'2026 tavasz'!B13</f>
        <v>Szikora István</v>
      </c>
      <c r="C13" s="13">
        <f>'2026 tavasz'!C13</f>
        <v>102.1</v>
      </c>
      <c r="D13" s="14">
        <f>'2026 tavasz'!D13</f>
        <v>102.2</v>
      </c>
      <c r="E13" s="14">
        <f>'2026 tavasz'!E13</f>
        <v>102.8</v>
      </c>
      <c r="F13" s="14">
        <f>'2026 tavasz'!F13</f>
        <v>101.7</v>
      </c>
      <c r="G13" s="14">
        <f>'2026 tavasz'!G13</f>
        <v>101</v>
      </c>
      <c r="H13" s="14">
        <f>'2026 tavasz'!H13</f>
        <v>100.3</v>
      </c>
      <c r="I13" s="14">
        <f>'2026 tavasz'!I13</f>
        <v>99.9</v>
      </c>
      <c r="J13" s="14">
        <f>'2026 tavasz'!J13</f>
        <v>99.4</v>
      </c>
      <c r="K13" s="14">
        <f>'2026 tavasz'!K13</f>
        <v>99.2</v>
      </c>
      <c r="L13" s="14">
        <f>'2026 tavasz'!L13</f>
        <v>0</v>
      </c>
      <c r="M13" s="14">
        <f>'2026 tavasz'!M13</f>
        <v>0</v>
      </c>
      <c r="N13" s="14">
        <f>'2026 tavasz'!N13</f>
        <v>0</v>
      </c>
      <c r="O13" s="14">
        <f>'2026 tavasz'!O13</f>
        <v>0</v>
      </c>
      <c r="P13" s="14">
        <f>'2026 tavasz'!P13</f>
        <v>0</v>
      </c>
      <c r="Q13" s="14">
        <f>'2026 tavasz'!Q13</f>
        <v>0</v>
      </c>
      <c r="R13" s="14">
        <f>'2026 tavasz'!R13</f>
        <v>0</v>
      </c>
      <c r="S13" s="14">
        <f t="shared" si="0"/>
        <v>102.1</v>
      </c>
    </row>
    <row r="14" spans="2:19" x14ac:dyDescent="0.2">
      <c r="B14" s="12" t="str">
        <f>'2026 tavasz'!B14</f>
        <v>Kováts Tibor</v>
      </c>
      <c r="C14" s="13">
        <f>'2026 tavasz'!C14</f>
        <v>97.2</v>
      </c>
      <c r="D14" s="14">
        <f>'2026 tavasz'!D14</f>
        <v>97.7</v>
      </c>
      <c r="E14" s="14">
        <f>'2026 tavasz'!E14</f>
        <v>97.7</v>
      </c>
      <c r="F14" s="14">
        <f>'2026 tavasz'!F14</f>
        <v>96.9</v>
      </c>
      <c r="G14" s="14">
        <f>'2026 tavasz'!G14</f>
        <v>97.5</v>
      </c>
      <c r="H14" s="14">
        <f>'2026 tavasz'!H14</f>
        <v>97.5</v>
      </c>
      <c r="I14" s="14">
        <f>'2026 tavasz'!I14</f>
        <v>97.6</v>
      </c>
      <c r="J14" s="14">
        <f>'2026 tavasz'!J14</f>
        <v>97.2</v>
      </c>
      <c r="K14" s="14">
        <f>'2026 tavasz'!K14</f>
        <v>96.7</v>
      </c>
      <c r="L14" s="14">
        <f>'2026 tavasz'!L14</f>
        <v>0</v>
      </c>
      <c r="M14" s="14">
        <f>'2026 tavasz'!M14</f>
        <v>0</v>
      </c>
      <c r="N14" s="14">
        <f>'2026 tavasz'!N14</f>
        <v>0</v>
      </c>
      <c r="O14" s="14">
        <f>'2026 tavasz'!O14</f>
        <v>0</v>
      </c>
      <c r="P14" s="14">
        <f>'2026 tavasz'!P14</f>
        <v>0</v>
      </c>
      <c r="Q14" s="14">
        <f>'2026 tavasz'!Q14</f>
        <v>0</v>
      </c>
      <c r="S14" s="14">
        <f t="shared" si="0"/>
        <v>97.2</v>
      </c>
    </row>
    <row r="15" spans="2:19" x14ac:dyDescent="0.2">
      <c r="B15" s="12" t="str">
        <f>'2026 tavasz'!B15</f>
        <v>Zorván Zoárd</v>
      </c>
      <c r="C15" s="13">
        <f>'2026 tavasz'!C15</f>
        <v>80.099999999999994</v>
      </c>
      <c r="D15" s="14">
        <f>'2026 tavasz'!D15</f>
        <v>79.900000000000006</v>
      </c>
      <c r="E15" s="14">
        <f>'2026 tavasz'!E15</f>
        <v>79.5</v>
      </c>
      <c r="F15" s="14">
        <f>'2026 tavasz'!F15</f>
        <v>77.3</v>
      </c>
      <c r="G15" s="14">
        <f>'2026 tavasz'!G15</f>
        <v>77.7</v>
      </c>
      <c r="H15" s="14">
        <f>'2026 tavasz'!H15</f>
        <v>75.7</v>
      </c>
      <c r="I15" s="14">
        <f>'2026 tavasz'!I15</f>
        <v>75.2</v>
      </c>
      <c r="J15" s="14">
        <f>'2026 tavasz'!J15</f>
        <v>75.400000000000006</v>
      </c>
      <c r="K15" s="14">
        <f>'2026 tavasz'!K15</f>
        <v>73.900000000000006</v>
      </c>
      <c r="L15" s="14">
        <f>'2026 tavasz'!L15</f>
        <v>0</v>
      </c>
      <c r="M15" s="14">
        <f>'2026 tavasz'!M15</f>
        <v>0</v>
      </c>
      <c r="N15" s="14">
        <f>'2026 tavasz'!N15</f>
        <v>0</v>
      </c>
      <c r="O15" s="14">
        <f>'2026 tavasz'!O15</f>
        <v>0</v>
      </c>
      <c r="P15" s="14">
        <f>'2026 tavasz'!P15</f>
        <v>0</v>
      </c>
      <c r="Q15" s="14">
        <f>'2026 tavasz'!Q15</f>
        <v>0</v>
      </c>
      <c r="S15" s="14">
        <f t="shared" si="0"/>
        <v>80.099999999999994</v>
      </c>
    </row>
    <row r="16" spans="2:19" x14ac:dyDescent="0.2">
      <c r="B16" s="12" t="str">
        <f>'2026 tavasz'!B16</f>
        <v>Beötthy Tímea</v>
      </c>
      <c r="C16" s="13">
        <f>'2026 tavasz'!C16</f>
        <v>63.1</v>
      </c>
      <c r="D16" s="14">
        <f>'2026 tavasz'!D16</f>
        <v>63.1</v>
      </c>
      <c r="E16" s="14">
        <f>'2026 tavasz'!E16</f>
        <v>63.1</v>
      </c>
      <c r="F16" s="14">
        <f>'2026 tavasz'!F16</f>
        <v>63.4</v>
      </c>
      <c r="G16" s="14">
        <f>'2026 tavasz'!G16</f>
        <v>62.7</v>
      </c>
      <c r="H16" s="14">
        <f>'2026 tavasz'!H16</f>
        <v>61.7</v>
      </c>
      <c r="I16" s="14">
        <f>'2026 tavasz'!I16</f>
        <v>61.9</v>
      </c>
      <c r="J16" s="14">
        <f>'2026 tavasz'!J16</f>
        <v>63</v>
      </c>
      <c r="K16" s="14">
        <f>'2026 tavasz'!K16</f>
        <v>62</v>
      </c>
      <c r="L16" s="14">
        <f>'2026 tavasz'!L16</f>
        <v>0</v>
      </c>
      <c r="M16" s="14">
        <f>'2026 tavasz'!M16</f>
        <v>0</v>
      </c>
      <c r="N16" s="14">
        <f>'2026 tavasz'!N16</f>
        <v>0</v>
      </c>
      <c r="O16" s="14">
        <f>'2026 tavasz'!O16</f>
        <v>0</v>
      </c>
      <c r="P16" s="14">
        <f>'2026 tavasz'!P16</f>
        <v>0</v>
      </c>
      <c r="Q16" s="14">
        <f>'2026 tavasz'!Q16</f>
        <v>0</v>
      </c>
      <c r="S16" s="14">
        <f t="shared" si="0"/>
        <v>63.1</v>
      </c>
    </row>
    <row r="17" spans="2:20" x14ac:dyDescent="0.2">
      <c r="B17" s="12" t="str">
        <f>'2026 tavasz'!B17</f>
        <v>Kellős György</v>
      </c>
      <c r="C17" s="13">
        <f>'2026 tavasz'!C17</f>
        <v>68.599999999999994</v>
      </c>
      <c r="D17" s="14">
        <f>'2026 tavasz'!D17</f>
        <v>68.400000000000006</v>
      </c>
      <c r="E17" s="14">
        <f>'2026 tavasz'!E17</f>
        <v>69.2</v>
      </c>
      <c r="F17" s="14">
        <f>'2026 tavasz'!F17</f>
        <v>69.7</v>
      </c>
      <c r="G17" s="14">
        <f>'2026 tavasz'!G17</f>
        <v>69.400000000000006</v>
      </c>
      <c r="H17" s="14">
        <f>'2026 tavasz'!H17</f>
        <v>69.900000000000006</v>
      </c>
      <c r="I17" s="14">
        <f>'2026 tavasz'!I17</f>
        <v>68.900000000000006</v>
      </c>
      <c r="J17" s="14">
        <f>'2026 tavasz'!J17</f>
        <v>69.599999999999994</v>
      </c>
      <c r="K17" s="14">
        <f>'2026 tavasz'!K17</f>
        <v>70.099999999999994</v>
      </c>
      <c r="L17" s="14">
        <f>'2026 tavasz'!L17</f>
        <v>0</v>
      </c>
      <c r="M17" s="14">
        <f>'2026 tavasz'!M17</f>
        <v>0</v>
      </c>
      <c r="N17" s="14">
        <f>'2026 tavasz'!N17</f>
        <v>0</v>
      </c>
      <c r="O17" s="14">
        <f>'2026 tavasz'!O17</f>
        <v>0</v>
      </c>
      <c r="P17" s="14">
        <f>'2026 tavasz'!P17</f>
        <v>0</v>
      </c>
      <c r="Q17" s="14">
        <f>'2026 tavasz'!Q17</f>
        <v>0</v>
      </c>
      <c r="S17" s="14">
        <f t="shared" si="0"/>
        <v>68.599999999999994</v>
      </c>
    </row>
    <row r="18" spans="2:20" x14ac:dyDescent="0.2">
      <c r="B18" s="12" t="str">
        <f>'2026 tavasz'!B18</f>
        <v>Jákob Tamás</v>
      </c>
      <c r="C18" s="13">
        <f>'2026 tavasz'!C18</f>
        <v>103</v>
      </c>
      <c r="D18" s="14">
        <f>'2026 tavasz'!D18</f>
        <v>103</v>
      </c>
      <c r="E18" s="14">
        <f>'2026 tavasz'!E18</f>
        <v>103</v>
      </c>
      <c r="F18" s="14">
        <f>'2026 tavasz'!F18</f>
        <v>103</v>
      </c>
      <c r="G18" s="14">
        <f>'2026 tavasz'!G18</f>
        <v>103</v>
      </c>
      <c r="H18" s="14">
        <f>'2026 tavasz'!H18</f>
        <v>103</v>
      </c>
      <c r="I18" s="14">
        <f>'2026 tavasz'!I18</f>
        <v>103</v>
      </c>
      <c r="J18" s="14">
        <f>'2026 tavasz'!J18</f>
        <v>102.2</v>
      </c>
      <c r="S18" s="14"/>
    </row>
    <row r="19" spans="2:20" x14ac:dyDescent="0.2">
      <c r="B19" s="12" t="str">
        <f>'2026 tavasz'!B19</f>
        <v>Tóth Roland</v>
      </c>
      <c r="C19" s="13">
        <f>'2026 tavasz'!C19</f>
        <v>93.6</v>
      </c>
      <c r="D19" s="14">
        <f>'2026 tavasz'!D19</f>
        <v>93.6</v>
      </c>
      <c r="E19" s="14">
        <f>'2026 tavasz'!E19</f>
        <v>93.6</v>
      </c>
      <c r="F19" s="14">
        <f>'2026 tavasz'!F19</f>
        <v>93.6</v>
      </c>
      <c r="G19" s="14">
        <f>'2026 tavasz'!G19</f>
        <v>93.6</v>
      </c>
      <c r="H19" s="14">
        <f>'2026 tavasz'!H19</f>
        <v>93.6</v>
      </c>
      <c r="I19" s="14">
        <f>'2026 tavasz'!I19</f>
        <v>93.6</v>
      </c>
      <c r="J19" s="14">
        <f>'2026 tavasz'!J19</f>
        <v>92.4</v>
      </c>
    </row>
    <row r="21" spans="2:20" x14ac:dyDescent="0.2">
      <c r="C21" s="12" t="str">
        <f t="shared" ref="C21:R21" si="1">C4</f>
        <v>4. hét</v>
      </c>
      <c r="D21" s="12" t="str">
        <f t="shared" si="1"/>
        <v>5. hét</v>
      </c>
      <c r="E21" s="12" t="str">
        <f t="shared" si="1"/>
        <v>6 .hét</v>
      </c>
      <c r="F21" s="12" t="str">
        <f t="shared" si="1"/>
        <v>7. hét</v>
      </c>
      <c r="G21" s="12" t="str">
        <f t="shared" si="1"/>
        <v>8. hét</v>
      </c>
      <c r="H21" s="12" t="str">
        <f t="shared" si="1"/>
        <v>9 .hét</v>
      </c>
      <c r="I21" s="12" t="str">
        <f t="shared" si="1"/>
        <v>10. hét</v>
      </c>
      <c r="J21" s="12" t="str">
        <f t="shared" si="1"/>
        <v>11. hét</v>
      </c>
      <c r="K21" s="12" t="str">
        <f t="shared" si="1"/>
        <v>12 .hét</v>
      </c>
      <c r="L21" s="12" t="str">
        <f t="shared" si="1"/>
        <v>13. hét</v>
      </c>
      <c r="M21" s="12" t="str">
        <f t="shared" si="1"/>
        <v>14. hét</v>
      </c>
      <c r="N21" s="12" t="str">
        <f t="shared" si="1"/>
        <v>15 .hét</v>
      </c>
      <c r="O21" s="12" t="str">
        <f t="shared" si="1"/>
        <v>16. hét</v>
      </c>
      <c r="P21" s="12" t="str">
        <f t="shared" si="1"/>
        <v>17. hét</v>
      </c>
      <c r="Q21" s="12" t="str">
        <f t="shared" si="1"/>
        <v>18 .hét</v>
      </c>
      <c r="R21" s="12">
        <f t="shared" si="1"/>
        <v>0</v>
      </c>
    </row>
    <row r="22" spans="2:20" x14ac:dyDescent="0.2">
      <c r="B22" s="12" t="s">
        <v>25</v>
      </c>
      <c r="C22" s="15">
        <v>0</v>
      </c>
      <c r="D22" s="11">
        <f t="shared" ref="D22:R22" si="2">IF(D5="","",(D5-$C5)/$C5)</f>
        <v>0</v>
      </c>
      <c r="E22" s="11">
        <f t="shared" si="2"/>
        <v>0</v>
      </c>
      <c r="F22" s="11">
        <f t="shared" si="2"/>
        <v>-2.3255813953488275E-2</v>
      </c>
      <c r="G22" s="11">
        <f t="shared" si="2"/>
        <v>-2.1533161068044791E-2</v>
      </c>
      <c r="H22" s="11">
        <f t="shared" si="2"/>
        <v>-2.6701119724375489E-2</v>
      </c>
      <c r="I22" s="11">
        <f t="shared" si="2"/>
        <v>-2.2394487510766534E-2</v>
      </c>
      <c r="J22" s="11">
        <f t="shared" si="2"/>
        <v>-2.2394487510766534E-2</v>
      </c>
      <c r="K22" s="11">
        <f t="shared" si="2"/>
        <v>-1.8087855297157576E-2</v>
      </c>
      <c r="L22" s="11">
        <f t="shared" si="2"/>
        <v>-1</v>
      </c>
      <c r="M22" s="11">
        <f t="shared" si="2"/>
        <v>-1</v>
      </c>
      <c r="N22" s="11">
        <f t="shared" si="2"/>
        <v>-1</v>
      </c>
      <c r="O22" s="11">
        <f t="shared" si="2"/>
        <v>-1</v>
      </c>
      <c r="P22" s="11">
        <f t="shared" si="2"/>
        <v>-1</v>
      </c>
      <c r="Q22" s="11">
        <f t="shared" si="2"/>
        <v>-1</v>
      </c>
      <c r="R22" s="11">
        <f t="shared" si="2"/>
        <v>-1</v>
      </c>
      <c r="S22" s="11"/>
    </row>
    <row r="23" spans="2:20" x14ac:dyDescent="0.2">
      <c r="B23" s="12" t="s">
        <v>26</v>
      </c>
      <c r="C23" s="15">
        <v>0</v>
      </c>
      <c r="D23" s="11">
        <f t="shared" ref="D23:R23" si="3">IF(D6="","",(D6-$C6)/$C6)</f>
        <v>1.9704433497537226E-3</v>
      </c>
      <c r="E23" s="11">
        <f t="shared" si="3"/>
        <v>-5.9113300492610278E-3</v>
      </c>
      <c r="F23" s="11">
        <f t="shared" si="3"/>
        <v>-3.9408866995074452E-3</v>
      </c>
      <c r="G23" s="11">
        <f t="shared" si="3"/>
        <v>-4.9261083743842365E-3</v>
      </c>
      <c r="H23" s="11">
        <f t="shared" si="3"/>
        <v>4.9261083743842365E-3</v>
      </c>
      <c r="I23" s="11">
        <f t="shared" si="3"/>
        <v>9.8522167487679127E-4</v>
      </c>
      <c r="J23" s="11">
        <f t="shared" si="3"/>
        <v>8.8669950738916817E-3</v>
      </c>
      <c r="K23" s="11">
        <f t="shared" si="3"/>
        <v>2.9556650246305139E-3</v>
      </c>
      <c r="L23" s="11">
        <f t="shared" si="3"/>
        <v>-1</v>
      </c>
      <c r="M23" s="11">
        <f t="shared" si="3"/>
        <v>-1</v>
      </c>
      <c r="N23" s="11">
        <f t="shared" si="3"/>
        <v>-1</v>
      </c>
      <c r="O23" s="11">
        <f t="shared" si="3"/>
        <v>-1</v>
      </c>
      <c r="P23" s="11">
        <f t="shared" si="3"/>
        <v>-1</v>
      </c>
      <c r="Q23" s="11">
        <f t="shared" si="3"/>
        <v>-1</v>
      </c>
      <c r="R23" s="11">
        <f t="shared" si="3"/>
        <v>-1</v>
      </c>
      <c r="S23" s="11"/>
    </row>
    <row r="24" spans="2:20" x14ac:dyDescent="0.2">
      <c r="B24" s="12" t="s">
        <v>27</v>
      </c>
      <c r="C24" s="15">
        <v>0</v>
      </c>
      <c r="D24" s="11">
        <f t="shared" ref="D24:R24" si="4">IF(D7="","",(D7-$C7)/$C7)</f>
        <v>-2.5795356835769316E-3</v>
      </c>
      <c r="E24" s="11">
        <f t="shared" si="4"/>
        <v>-1.977644024075664E-2</v>
      </c>
      <c r="F24" s="11">
        <f t="shared" si="4"/>
        <v>-1.7196904557179708E-2</v>
      </c>
      <c r="G24" s="11">
        <f t="shared" si="4"/>
        <v>-3.1814273430782483E-2</v>
      </c>
      <c r="H24" s="11">
        <f t="shared" si="4"/>
        <v>-2.3215821152192631E-2</v>
      </c>
      <c r="I24" s="11">
        <f t="shared" si="4"/>
        <v>-3.3533963886500359E-2</v>
      </c>
      <c r="J24" s="11">
        <f t="shared" si="4"/>
        <v>-3.6973344797936347E-2</v>
      </c>
      <c r="K24" s="11">
        <f t="shared" si="4"/>
        <v>-3.8693035253654341E-2</v>
      </c>
      <c r="L24" s="11">
        <f t="shared" si="4"/>
        <v>-1</v>
      </c>
      <c r="M24" s="11">
        <f t="shared" si="4"/>
        <v>-1</v>
      </c>
      <c r="N24" s="11">
        <f t="shared" si="4"/>
        <v>-1</v>
      </c>
      <c r="O24" s="11">
        <f t="shared" si="4"/>
        <v>-1</v>
      </c>
      <c r="P24" s="11">
        <f t="shared" si="4"/>
        <v>-1</v>
      </c>
      <c r="Q24" s="11">
        <f t="shared" si="4"/>
        <v>-1</v>
      </c>
      <c r="R24" s="11">
        <f t="shared" si="4"/>
        <v>-1</v>
      </c>
      <c r="S24" s="11"/>
    </row>
    <row r="25" spans="2:20" x14ac:dyDescent="0.2">
      <c r="B25" s="12" t="s">
        <v>28</v>
      </c>
      <c r="C25" s="15">
        <v>0</v>
      </c>
      <c r="D25" s="11">
        <f t="shared" ref="D25:R25" si="5">IF(D8="","",(D8-$C8)/$C8)</f>
        <v>3.4207525655643918E-3</v>
      </c>
      <c r="E25" s="11">
        <f t="shared" si="5"/>
        <v>3.4207525655643918E-3</v>
      </c>
      <c r="F25" s="11">
        <f t="shared" si="5"/>
        <v>0</v>
      </c>
      <c r="G25" s="11">
        <f t="shared" si="5"/>
        <v>0</v>
      </c>
      <c r="H25" s="11">
        <f t="shared" si="5"/>
        <v>-5.7012542759407071E-3</v>
      </c>
      <c r="I25" s="11">
        <f t="shared" si="5"/>
        <v>3.4207525655643918E-3</v>
      </c>
      <c r="J25" s="11">
        <f t="shared" si="5"/>
        <v>-4.5610034207526299E-3</v>
      </c>
      <c r="K25" s="11">
        <f t="shared" si="5"/>
        <v>0</v>
      </c>
      <c r="L25" s="11">
        <f t="shared" si="5"/>
        <v>-1</v>
      </c>
      <c r="M25" s="11">
        <f t="shared" si="5"/>
        <v>-1</v>
      </c>
      <c r="N25" s="11">
        <f t="shared" si="5"/>
        <v>-1</v>
      </c>
      <c r="O25" s="11">
        <f t="shared" si="5"/>
        <v>-1</v>
      </c>
      <c r="P25" s="11">
        <f t="shared" si="5"/>
        <v>-1</v>
      </c>
      <c r="Q25" s="11">
        <f t="shared" si="5"/>
        <v>-1</v>
      </c>
      <c r="R25" s="11">
        <f t="shared" si="5"/>
        <v>-1</v>
      </c>
      <c r="S25" s="11"/>
    </row>
    <row r="26" spans="2:20" x14ac:dyDescent="0.2">
      <c r="B26" s="12" t="s">
        <v>29</v>
      </c>
      <c r="C26" s="15">
        <v>0</v>
      </c>
      <c r="D26" s="11">
        <f t="shared" ref="D26:R26" si="6">IF(D9="","",(D9-$C9)/$C9)</f>
        <v>-1.2457531143827796E-2</v>
      </c>
      <c r="E26" s="11">
        <f t="shared" si="6"/>
        <v>-2.4915062287655752E-2</v>
      </c>
      <c r="F26" s="11">
        <f t="shared" si="6"/>
        <v>-3.0577576443941143E-2</v>
      </c>
      <c r="G26" s="11">
        <f t="shared" si="6"/>
        <v>-4.0770101925254751E-2</v>
      </c>
      <c r="H26" s="11">
        <f t="shared" si="6"/>
        <v>-5.0962627406568518E-2</v>
      </c>
      <c r="I26" s="11">
        <f t="shared" si="6"/>
        <v>-3.7372593431483546E-2</v>
      </c>
      <c r="J26" s="11">
        <f t="shared" si="6"/>
        <v>-5.0962627406568518E-2</v>
      </c>
      <c r="K26" s="11">
        <f t="shared" si="6"/>
        <v>-5.5492638731596731E-2</v>
      </c>
      <c r="L26" s="11">
        <f t="shared" si="6"/>
        <v>-1</v>
      </c>
      <c r="M26" s="11">
        <f t="shared" si="6"/>
        <v>-1</v>
      </c>
      <c r="N26" s="11">
        <f t="shared" si="6"/>
        <v>-1</v>
      </c>
      <c r="O26" s="11">
        <f t="shared" si="6"/>
        <v>-1</v>
      </c>
      <c r="P26" s="11">
        <f t="shared" si="6"/>
        <v>-1</v>
      </c>
      <c r="Q26" s="11">
        <f t="shared" si="6"/>
        <v>-1</v>
      </c>
      <c r="R26" s="11">
        <f t="shared" si="6"/>
        <v>-1</v>
      </c>
      <c r="S26" s="11"/>
    </row>
    <row r="27" spans="2:20" x14ac:dyDescent="0.2">
      <c r="B27" s="12" t="s">
        <v>30</v>
      </c>
      <c r="C27" s="15">
        <v>0</v>
      </c>
      <c r="D27" s="11">
        <f t="shared" ref="D27:R27" si="7">IF(D10="","",(D10-$C10)/$C10)</f>
        <v>-1.2345679012345652E-2</v>
      </c>
      <c r="E27" s="11">
        <f t="shared" si="7"/>
        <v>-1.2345679012345652E-2</v>
      </c>
      <c r="F27" s="11">
        <f t="shared" si="7"/>
        <v>-2.5641025641025668E-2</v>
      </c>
      <c r="G27" s="11">
        <f t="shared" si="7"/>
        <v>-3.2288698955365541E-2</v>
      </c>
      <c r="H27" s="11">
        <f t="shared" si="7"/>
        <v>-2.8490028490028491E-2</v>
      </c>
      <c r="I27" s="11">
        <f t="shared" si="7"/>
        <v>-2.8490028490028491E-2</v>
      </c>
      <c r="J27" s="11">
        <f t="shared" si="7"/>
        <v>-3.7986704653371318E-2</v>
      </c>
      <c r="K27" s="11">
        <f t="shared" si="7"/>
        <v>-3.5137701804368496E-2</v>
      </c>
      <c r="L27" s="11">
        <f t="shared" si="7"/>
        <v>-1</v>
      </c>
      <c r="M27" s="11">
        <f t="shared" si="7"/>
        <v>-1</v>
      </c>
      <c r="N27" s="11">
        <f t="shared" si="7"/>
        <v>-1</v>
      </c>
      <c r="O27" s="11">
        <f t="shared" si="7"/>
        <v>-1</v>
      </c>
      <c r="P27" s="11">
        <f t="shared" si="7"/>
        <v>-1</v>
      </c>
      <c r="Q27" s="11">
        <f t="shared" si="7"/>
        <v>-1</v>
      </c>
      <c r="R27" s="11">
        <f t="shared" si="7"/>
        <v>-1</v>
      </c>
      <c r="S27" s="11"/>
    </row>
    <row r="28" spans="2:20" x14ac:dyDescent="0.2">
      <c r="B28" s="12" t="s">
        <v>31</v>
      </c>
      <c r="C28" s="15">
        <v>0</v>
      </c>
      <c r="D28" s="11">
        <f t="shared" ref="D28:R28" si="8">IF(D11="","",(D11-$C11)/$C11)</f>
        <v>-1.0834236186348246E-3</v>
      </c>
      <c r="E28" s="11">
        <f t="shared" si="8"/>
        <v>-5.4171180931744311E-3</v>
      </c>
      <c r="F28" s="11">
        <f t="shared" si="8"/>
        <v>6.5005417118094103E-3</v>
      </c>
      <c r="G28" s="11">
        <f t="shared" si="8"/>
        <v>1.0834236186348862E-2</v>
      </c>
      <c r="H28" s="11">
        <f t="shared" si="8"/>
        <v>-4.3336944745394528E-3</v>
      </c>
      <c r="I28" s="11">
        <f t="shared" si="8"/>
        <v>2.1668472372698032E-3</v>
      </c>
      <c r="J28" s="11">
        <f t="shared" si="8"/>
        <v>2.1668472372698032E-3</v>
      </c>
      <c r="K28" s="11">
        <f t="shared" si="8"/>
        <v>-3.250270855904628E-3</v>
      </c>
      <c r="L28" s="11">
        <f t="shared" si="8"/>
        <v>-1</v>
      </c>
      <c r="M28" s="11">
        <f t="shared" si="8"/>
        <v>-1</v>
      </c>
      <c r="N28" s="11">
        <f t="shared" si="8"/>
        <v>-1</v>
      </c>
      <c r="O28" s="11">
        <f t="shared" si="8"/>
        <v>-1</v>
      </c>
      <c r="P28" s="11">
        <f t="shared" si="8"/>
        <v>-1</v>
      </c>
      <c r="Q28" s="11">
        <f t="shared" si="8"/>
        <v>-1</v>
      </c>
      <c r="R28" s="11">
        <f t="shared" si="8"/>
        <v>-1</v>
      </c>
      <c r="S28" s="11"/>
    </row>
    <row r="29" spans="2:20" x14ac:dyDescent="0.2">
      <c r="B29" s="12" t="s">
        <v>32</v>
      </c>
      <c r="C29" s="15">
        <v>0</v>
      </c>
      <c r="D29" s="11">
        <f t="shared" ref="D29:R29" si="9">IF(D12="","",(D12-$C12)/$C12)</f>
        <v>-1.2915129151291565E-2</v>
      </c>
      <c r="E29" s="11">
        <f t="shared" si="9"/>
        <v>-9.2250922509225092E-3</v>
      </c>
      <c r="F29" s="11">
        <f t="shared" si="9"/>
        <v>-1.7527675276752818E-2</v>
      </c>
      <c r="G29" s="11">
        <f t="shared" si="9"/>
        <v>-4.0590405904059088E-2</v>
      </c>
      <c r="H29" s="11">
        <f t="shared" si="9"/>
        <v>-5.07380073800738E-2</v>
      </c>
      <c r="I29" s="11">
        <f t="shared" si="9"/>
        <v>-4.9815498154981597E-2</v>
      </c>
      <c r="J29" s="11">
        <f t="shared" si="9"/>
        <v>-5.996309963099631E-2</v>
      </c>
      <c r="K29" s="11">
        <f t="shared" si="9"/>
        <v>-5.6273062730627384E-2</v>
      </c>
      <c r="L29" s="11">
        <f t="shared" si="9"/>
        <v>-1</v>
      </c>
      <c r="M29" s="11">
        <f t="shared" si="9"/>
        <v>-1</v>
      </c>
      <c r="N29" s="11">
        <f t="shared" si="9"/>
        <v>-1</v>
      </c>
      <c r="O29" s="11">
        <f t="shared" si="9"/>
        <v>-1</v>
      </c>
      <c r="P29" s="11">
        <f t="shared" si="9"/>
        <v>-1</v>
      </c>
      <c r="Q29" s="11">
        <f t="shared" si="9"/>
        <v>-1</v>
      </c>
      <c r="R29" s="11">
        <f t="shared" si="9"/>
        <v>-1</v>
      </c>
      <c r="S29" s="11"/>
      <c r="T29" s="11"/>
    </row>
    <row r="30" spans="2:20" x14ac:dyDescent="0.2">
      <c r="B30" s="1" t="s">
        <v>33</v>
      </c>
      <c r="C30" s="15">
        <v>0</v>
      </c>
      <c r="D30" s="11">
        <f t="shared" ref="D30:R30" si="10">IF(D13="","",(D13-$C13)/$C13)</f>
        <v>9.7943192948098459E-4</v>
      </c>
      <c r="E30" s="11">
        <f t="shared" si="10"/>
        <v>6.8560235063663362E-3</v>
      </c>
      <c r="F30" s="11">
        <f t="shared" si="10"/>
        <v>-3.9177277179235212E-3</v>
      </c>
      <c r="G30" s="11">
        <f t="shared" si="10"/>
        <v>-1.0773751224289857E-2</v>
      </c>
      <c r="H30" s="11">
        <f t="shared" si="10"/>
        <v>-1.7629774730656193E-2</v>
      </c>
      <c r="I30" s="11">
        <f t="shared" si="10"/>
        <v>-2.1547502448579715E-2</v>
      </c>
      <c r="J30" s="11">
        <f t="shared" si="10"/>
        <v>-2.6444662095984218E-2</v>
      </c>
      <c r="K30" s="11">
        <f t="shared" si="10"/>
        <v>-2.8403525954946048E-2</v>
      </c>
      <c r="L30" s="11">
        <f t="shared" si="10"/>
        <v>-1</v>
      </c>
      <c r="M30" s="11">
        <f t="shared" si="10"/>
        <v>-1</v>
      </c>
      <c r="N30" s="11">
        <f t="shared" si="10"/>
        <v>-1</v>
      </c>
      <c r="O30" s="11">
        <f t="shared" si="10"/>
        <v>-1</v>
      </c>
      <c r="P30" s="11">
        <f t="shared" si="10"/>
        <v>-1</v>
      </c>
      <c r="Q30" s="11">
        <f t="shared" si="10"/>
        <v>-1</v>
      </c>
      <c r="R30" s="11">
        <f t="shared" si="10"/>
        <v>-1</v>
      </c>
    </row>
    <row r="31" spans="2:20" x14ac:dyDescent="0.2">
      <c r="B31" s="1" t="s">
        <v>34</v>
      </c>
      <c r="C31" s="15">
        <v>0</v>
      </c>
      <c r="D31" s="11">
        <f t="shared" ref="D31:R31" si="11">IF(D14="","",(D14-$C14)/$C14)</f>
        <v>5.1440329218106996E-3</v>
      </c>
      <c r="E31" s="11">
        <f t="shared" si="11"/>
        <v>5.1440329218106996E-3</v>
      </c>
      <c r="F31" s="11">
        <f t="shared" si="11"/>
        <v>-3.0864197530863905E-3</v>
      </c>
      <c r="G31" s="11">
        <f t="shared" si="11"/>
        <v>3.0864197530863905E-3</v>
      </c>
      <c r="H31" s="11">
        <f t="shared" si="11"/>
        <v>3.0864197530863905E-3</v>
      </c>
      <c r="I31" s="11">
        <f t="shared" si="11"/>
        <v>4.1152263374484715E-3</v>
      </c>
      <c r="J31" s="11">
        <f t="shared" si="11"/>
        <v>0</v>
      </c>
      <c r="K31" s="11">
        <f t="shared" si="11"/>
        <v>-5.1440329218106996E-3</v>
      </c>
      <c r="L31" s="11">
        <f t="shared" si="11"/>
        <v>-1</v>
      </c>
      <c r="M31" s="11">
        <f t="shared" si="11"/>
        <v>-1</v>
      </c>
      <c r="N31" s="11">
        <f t="shared" si="11"/>
        <v>-1</v>
      </c>
      <c r="O31" s="11">
        <f t="shared" si="11"/>
        <v>-1</v>
      </c>
      <c r="P31" s="11">
        <f t="shared" si="11"/>
        <v>-1</v>
      </c>
      <c r="Q31" s="11">
        <f t="shared" si="11"/>
        <v>-1</v>
      </c>
      <c r="R31" s="11" t="str">
        <f t="shared" si="11"/>
        <v/>
      </c>
    </row>
    <row r="32" spans="2:20" x14ac:dyDescent="0.2">
      <c r="B32" s="1" t="s">
        <v>35</v>
      </c>
      <c r="C32" s="15">
        <v>0</v>
      </c>
      <c r="D32" s="11">
        <f t="shared" ref="D32:R32" si="12">IF(D15="","",(D15-$C15)/$C15)</f>
        <v>-2.4968789013731416E-3</v>
      </c>
      <c r="E32" s="11">
        <f t="shared" si="12"/>
        <v>-7.49063670411978E-3</v>
      </c>
      <c r="F32" s="11">
        <f t="shared" si="12"/>
        <v>-3.4956304619225935E-2</v>
      </c>
      <c r="G32" s="11">
        <f t="shared" si="12"/>
        <v>-2.9962546816479297E-2</v>
      </c>
      <c r="H32" s="11">
        <f t="shared" si="12"/>
        <v>-5.4931335830212133E-2</v>
      </c>
      <c r="I32" s="11">
        <f t="shared" si="12"/>
        <v>-6.1173533083645343E-2</v>
      </c>
      <c r="J32" s="11">
        <f t="shared" si="12"/>
        <v>-5.8676654182272019E-2</v>
      </c>
      <c r="K32" s="11">
        <f t="shared" si="12"/>
        <v>-7.7403245942571655E-2</v>
      </c>
      <c r="L32" s="11">
        <f t="shared" si="12"/>
        <v>-1</v>
      </c>
      <c r="M32" s="11">
        <f t="shared" si="12"/>
        <v>-1</v>
      </c>
      <c r="N32" s="11">
        <f t="shared" si="12"/>
        <v>-1</v>
      </c>
      <c r="O32" s="11">
        <f t="shared" si="12"/>
        <v>-1</v>
      </c>
      <c r="P32" s="11">
        <f t="shared" si="12"/>
        <v>-1</v>
      </c>
      <c r="Q32" s="11">
        <f t="shared" si="12"/>
        <v>-1</v>
      </c>
      <c r="R32" s="11" t="str">
        <f t="shared" si="12"/>
        <v/>
      </c>
    </row>
    <row r="33" spans="2:20" x14ac:dyDescent="0.2">
      <c r="B33" s="1" t="s">
        <v>36</v>
      </c>
      <c r="C33" s="15">
        <v>0</v>
      </c>
      <c r="D33" s="11">
        <f t="shared" ref="D33:R33" si="13">IF(D16="","",(D16-$C16)/$C16)</f>
        <v>0</v>
      </c>
      <c r="E33" s="11">
        <f t="shared" si="13"/>
        <v>0</v>
      </c>
      <c r="F33" s="11">
        <f t="shared" si="13"/>
        <v>4.7543581616481326E-3</v>
      </c>
      <c r="G33" s="11">
        <f t="shared" si="13"/>
        <v>-6.339144215530881E-3</v>
      </c>
      <c r="H33" s="11">
        <f t="shared" si="13"/>
        <v>-2.2187004754358138E-2</v>
      </c>
      <c r="I33" s="11">
        <f t="shared" si="13"/>
        <v>-1.9017432646592756E-2</v>
      </c>
      <c r="J33" s="11">
        <f t="shared" si="13"/>
        <v>-1.5847860538827482E-3</v>
      </c>
      <c r="K33" s="11">
        <f t="shared" si="13"/>
        <v>-1.7432646592710006E-2</v>
      </c>
      <c r="L33" s="11">
        <f t="shared" si="13"/>
        <v>-1</v>
      </c>
      <c r="M33" s="11">
        <f t="shared" si="13"/>
        <v>-1</v>
      </c>
      <c r="N33" s="11">
        <f t="shared" si="13"/>
        <v>-1</v>
      </c>
      <c r="O33" s="11">
        <f t="shared" si="13"/>
        <v>-1</v>
      </c>
      <c r="P33" s="11">
        <f t="shared" si="13"/>
        <v>-1</v>
      </c>
      <c r="Q33" s="11">
        <f t="shared" si="13"/>
        <v>-1</v>
      </c>
      <c r="R33" s="11" t="str">
        <f t="shared" si="13"/>
        <v/>
      </c>
    </row>
    <row r="34" spans="2:20" x14ac:dyDescent="0.2">
      <c r="B34" s="1" t="s">
        <v>37</v>
      </c>
      <c r="C34" s="15">
        <v>0</v>
      </c>
      <c r="D34" s="11">
        <f t="shared" ref="D34:R34" si="14">IF(D17="","",(D17-$C17)/$C17)</f>
        <v>-2.9154518950435665E-3</v>
      </c>
      <c r="E34" s="11">
        <f t="shared" si="14"/>
        <v>8.7463556851313205E-3</v>
      </c>
      <c r="F34" s="11">
        <f t="shared" si="14"/>
        <v>1.603498542274065E-2</v>
      </c>
      <c r="G34" s="11">
        <f t="shared" si="14"/>
        <v>1.1661807580175093E-2</v>
      </c>
      <c r="H34" s="11">
        <f t="shared" si="14"/>
        <v>1.8950437317784424E-2</v>
      </c>
      <c r="I34" s="11">
        <f t="shared" si="14"/>
        <v>4.3731778425657635E-3</v>
      </c>
      <c r="J34" s="11">
        <f t="shared" si="14"/>
        <v>1.457725947521866E-2</v>
      </c>
      <c r="K34" s="11">
        <f t="shared" si="14"/>
        <v>2.1865889212827991E-2</v>
      </c>
      <c r="L34" s="11">
        <f t="shared" si="14"/>
        <v>-1</v>
      </c>
      <c r="M34" s="11">
        <f t="shared" si="14"/>
        <v>-1</v>
      </c>
      <c r="N34" s="11">
        <f t="shared" si="14"/>
        <v>-1</v>
      </c>
      <c r="O34" s="11">
        <f t="shared" si="14"/>
        <v>-1</v>
      </c>
      <c r="P34" s="11">
        <f t="shared" si="14"/>
        <v>-1</v>
      </c>
      <c r="Q34" s="11">
        <f t="shared" si="14"/>
        <v>-1</v>
      </c>
      <c r="R34" s="11" t="str">
        <f t="shared" si="14"/>
        <v/>
      </c>
    </row>
    <row r="35" spans="2:20" x14ac:dyDescent="0.2">
      <c r="B35" s="1" t="s">
        <v>38</v>
      </c>
      <c r="C35" s="15">
        <v>0</v>
      </c>
      <c r="D35" s="11">
        <f t="shared" ref="D35:K35" si="15">IF(D18="","",(D18-$C18)/$C18)</f>
        <v>0</v>
      </c>
      <c r="E35" s="11">
        <f t="shared" si="15"/>
        <v>0</v>
      </c>
      <c r="F35" s="11">
        <f t="shared" si="15"/>
        <v>0</v>
      </c>
      <c r="G35" s="11">
        <f t="shared" si="15"/>
        <v>0</v>
      </c>
      <c r="H35" s="11">
        <f t="shared" si="15"/>
        <v>0</v>
      </c>
      <c r="I35" s="11">
        <f t="shared" si="15"/>
        <v>0</v>
      </c>
      <c r="J35" s="11">
        <f t="shared" si="15"/>
        <v>-7.7669902912621087E-3</v>
      </c>
      <c r="K35" s="11" t="str">
        <f t="shared" si="15"/>
        <v/>
      </c>
    </row>
    <row r="36" spans="2:20" x14ac:dyDescent="0.2">
      <c r="B36" s="1" t="s">
        <v>39</v>
      </c>
      <c r="C36" s="15">
        <v>0</v>
      </c>
      <c r="D36" s="11">
        <f t="shared" ref="D36:K36" si="16">IF(D19="","",(D19-$C19)/$C19)</f>
        <v>0</v>
      </c>
      <c r="E36" s="11">
        <f t="shared" si="16"/>
        <v>0</v>
      </c>
      <c r="F36" s="11">
        <f t="shared" si="16"/>
        <v>0</v>
      </c>
      <c r="G36" s="11">
        <f t="shared" si="16"/>
        <v>0</v>
      </c>
      <c r="H36" s="11">
        <f t="shared" si="16"/>
        <v>0</v>
      </c>
      <c r="I36" s="11">
        <f t="shared" si="16"/>
        <v>0</v>
      </c>
      <c r="J36" s="11">
        <f t="shared" si="16"/>
        <v>-1.28205128205127E-2</v>
      </c>
      <c r="K36" s="11" t="str">
        <f t="shared" si="16"/>
        <v/>
      </c>
    </row>
    <row r="39" spans="2:20" x14ac:dyDescent="0.2">
      <c r="R39" s="16" t="s">
        <v>42</v>
      </c>
      <c r="S39" s="16" t="s">
        <v>43</v>
      </c>
      <c r="T39" s="16" t="s">
        <v>3</v>
      </c>
    </row>
    <row r="40" spans="2:20" x14ac:dyDescent="0.2">
      <c r="R40" s="17">
        <v>1</v>
      </c>
      <c r="S40" s="18" t="e">
        <f t="array" ref="S40">INDEX('2026 tavasz'!$B$5:$X$19,MATCH(R40, '2026 tavasz'!$X$5:$X$19, 0),1)</f>
        <v>#N/A</v>
      </c>
      <c r="T40" s="19" t="e">
        <f t="array" ref="T40">INDEX('2026 tavasz'!$B$5:$X$19,MATCH(R40, '2026 tavasz'!$X$5:$X$19, 0),23)</f>
        <v>#N/A</v>
      </c>
    </row>
    <row r="41" spans="2:20" x14ac:dyDescent="0.2">
      <c r="R41" s="17">
        <v>2</v>
      </c>
      <c r="S41" s="18" t="e">
        <f t="array" ref="S41">INDEX('2026 tavasz'!$B$5:$X$19,MATCH(R41, '2026 tavasz'!$X$5:$X$19, 0),1)</f>
        <v>#N/A</v>
      </c>
      <c r="T41" s="19" t="e">
        <f t="array" ref="T41">INDEX('2026 tavasz'!$B$5:$X$19,MATCH(R41, '2026 tavasz'!$X$5:$X$19, 0),23)</f>
        <v>#N/A</v>
      </c>
    </row>
    <row r="42" spans="2:20" x14ac:dyDescent="0.2">
      <c r="R42" s="17">
        <v>3</v>
      </c>
      <c r="S42" s="18" t="e">
        <f t="array" ref="S42">INDEX('2026 tavasz'!$B$5:$X$19,MATCH(R42, '2026 tavasz'!$X$5:$X$19, 0),1)</f>
        <v>#N/A</v>
      </c>
      <c r="T42" s="19" t="e">
        <f t="array" ref="T42">INDEX('2026 tavasz'!$B$5:$X$19,MATCH(R42, '2026 tavasz'!$X$5:$X$19, 0),23)</f>
        <v>#N/A</v>
      </c>
    </row>
    <row r="43" spans="2:20" x14ac:dyDescent="0.2">
      <c r="R43" s="17">
        <v>4</v>
      </c>
      <c r="S43" s="18" t="e">
        <f t="array" ref="S43">INDEX('2026 tavasz'!$B$5:$X$19,MATCH(R43, '2026 tavasz'!$X$5:$X$19, 0),1)</f>
        <v>#N/A</v>
      </c>
      <c r="T43" s="19" t="e">
        <f t="array" ref="T43">INDEX('2026 tavasz'!$B$5:$X$19,MATCH(R43, '2026 tavasz'!$X$5:$X$19, 0),23)</f>
        <v>#N/A</v>
      </c>
    </row>
    <row r="44" spans="2:20" x14ac:dyDescent="0.2">
      <c r="R44" s="17">
        <v>5</v>
      </c>
      <c r="S44" s="18" t="e">
        <f t="array" ref="S44">INDEX('2026 tavasz'!$B$5:$X$19,MATCH(R44, '2026 tavasz'!$X$5:$X$19, 0),1)</f>
        <v>#N/A</v>
      </c>
      <c r="T44" s="19" t="e">
        <f t="array" ref="T44">INDEX('2026 tavasz'!$B$5:$X$19,MATCH(R44, '2026 tavasz'!$X$5:$X$19, 0),23)</f>
        <v>#N/A</v>
      </c>
    </row>
    <row r="45" spans="2:20" x14ac:dyDescent="0.2">
      <c r="R45" s="17">
        <v>6</v>
      </c>
      <c r="S45" s="18" t="e">
        <f t="array" ref="S45">INDEX('2026 tavasz'!$B$5:$X$19,MATCH(R45, '2026 tavasz'!$X$5:$X$19, 0),1)</f>
        <v>#N/A</v>
      </c>
      <c r="T45" s="19" t="e">
        <f t="array" ref="T45">INDEX('2026 tavasz'!$B$5:$X$19,MATCH(R45, '2026 tavasz'!$X$5:$X$19, 0),23)</f>
        <v>#N/A</v>
      </c>
    </row>
    <row r="46" spans="2:20" x14ac:dyDescent="0.2">
      <c r="R46" s="17">
        <v>7</v>
      </c>
      <c r="S46" s="18" t="e">
        <f t="array" ref="S46">INDEX('2026 tavasz'!$B$5:$X$19,MATCH(R46, '2026 tavasz'!$X$5:$X$19, 0),1)</f>
        <v>#N/A</v>
      </c>
      <c r="T46" s="20" t="e">
        <f t="array" ref="T46">INDEX('2026 tavasz'!$B$5:$X$19,MATCH(R46, '2026 tavasz'!$X$5:$X$19, 0),23)</f>
        <v>#N/A</v>
      </c>
    </row>
    <row r="47" spans="2:20" x14ac:dyDescent="0.2">
      <c r="R47" s="17">
        <v>8</v>
      </c>
      <c r="S47" s="18" t="e">
        <f t="array" ref="S47">INDEX('2026 tavasz'!$B$5:$X$19,MATCH(R47, '2026 tavasz'!$X$5:$X$19, 0),1)</f>
        <v>#N/A</v>
      </c>
      <c r="T47" s="19" t="e">
        <f t="array" ref="T47">INDEX('2026 tavasz'!$B$5:$X$19,MATCH(R47, '2026 tavasz'!$X$5:$X$19, 0),23)</f>
        <v>#N/A</v>
      </c>
    </row>
    <row r="48" spans="2:20" x14ac:dyDescent="0.2">
      <c r="R48" s="17">
        <v>9</v>
      </c>
      <c r="S48" s="18" t="e">
        <f t="array" ref="S48">INDEX('2026 tavasz'!$B$5:$X$19,MATCH(R48, '2026 tavasz'!$X$5:$X$19, 0),1)</f>
        <v>#N/A</v>
      </c>
      <c r="T48" s="19" t="e">
        <f t="array" ref="T48">INDEX('2026 tavasz'!$B$5:$X$19,MATCH(R48, '2026 tavasz'!$X$5:$X$19, 0),23)</f>
        <v>#N/A</v>
      </c>
    </row>
    <row r="49" spans="18:20" x14ac:dyDescent="0.2">
      <c r="R49" s="17">
        <v>10</v>
      </c>
      <c r="S49" s="18" t="e">
        <f t="array" ref="S49">INDEX('2026 tavasz'!$B$5:$X$19,MATCH(R49, '2026 tavasz'!$X$5:$X$19, 0),1)</f>
        <v>#N/A</v>
      </c>
      <c r="T49" s="19" t="e">
        <f t="array" ref="T49">INDEX('2026 tavasz'!$B$5:$X$19,MATCH(R49, '2026 tavasz'!$X$5:$X$19, 0),23)</f>
        <v>#N/A</v>
      </c>
    </row>
    <row r="50" spans="18:20" x14ac:dyDescent="0.2">
      <c r="R50" s="17">
        <v>11</v>
      </c>
      <c r="S50" s="18" t="e">
        <f t="array" ref="S50">INDEX('2026 tavasz'!$B$5:$X$19,MATCH(R50, '2026 tavasz'!$X$5:$X$19, 0),1)</f>
        <v>#N/A</v>
      </c>
      <c r="T50" s="19" t="e">
        <f t="array" ref="T50">INDEX('2026 tavasz'!$B$5:$X$19,MATCH(R50, '2026 tavasz'!$X$5:$X$19, 0),23)</f>
        <v>#N/A</v>
      </c>
    </row>
    <row r="51" spans="18:20" x14ac:dyDescent="0.2">
      <c r="R51" s="17">
        <v>12</v>
      </c>
      <c r="S51" s="18" t="e">
        <f t="array" ref="S51">INDEX('2026 tavasz'!$B$5:$X$19,MATCH(R51, '2026 tavasz'!$X$5:$X$19, 0),1)</f>
        <v>#N/A</v>
      </c>
      <c r="T51" s="19" t="e">
        <f t="array" ref="T51">INDEX('2026 tavasz'!$B$5:$X$19,MATCH(R51, '2026 tavasz'!$X$5:$X$19, 0),23)</f>
        <v>#N/A</v>
      </c>
    </row>
    <row r="52" spans="18:20" x14ac:dyDescent="0.2">
      <c r="R52" s="17">
        <v>13</v>
      </c>
      <c r="S52" s="18" t="e">
        <f t="array" ref="S52">INDEX('2026 tavasz'!$B$5:$X$19,MATCH(R52, '2026 tavasz'!$X$5:$X$19, 0),1)</f>
        <v>#N/A</v>
      </c>
      <c r="T52" s="19" t="e">
        <f t="array" ref="T52">INDEX('2026 tavasz'!$B$5:$X$19,MATCH(R52, '2026 tavasz'!$X$5:$X$19, 0),23)</f>
        <v>#N/A</v>
      </c>
    </row>
    <row r="53" spans="18:20" x14ac:dyDescent="0.2">
      <c r="R53" s="17">
        <v>14</v>
      </c>
      <c r="S53" s="18" t="e">
        <f t="array" ref="S53">INDEX('2026 tavasz'!$B$5:$X$19,MATCH(R53, '2026 tavasz'!$X$5:$X$19, 0),1)</f>
        <v>#N/A</v>
      </c>
      <c r="T53" s="19" t="e">
        <f t="array" ref="T53">INDEX('2026 tavasz'!$B$5:$X$19,MATCH(R53, '2026 tavasz'!$X$5:$X$19, 0),23)</f>
        <v>#N/A</v>
      </c>
    </row>
    <row r="54" spans="18:20" x14ac:dyDescent="0.2">
      <c r="R54" s="17">
        <v>15</v>
      </c>
      <c r="S54" s="18" t="e">
        <f t="array" ref="S54">INDEX('2026 tavasz'!$B$5:$X$19,MATCH(R54, '2026 tavasz'!$X$5:$X$19, 0),1)</f>
        <v>#N/A</v>
      </c>
      <c r="T54" s="19" t="e">
        <f t="array" ref="T54">INDEX('2026 tavasz'!$B$5:$X$19,MATCH(R54, '2026 tavasz'!$X$5:$X$19, 0),23)</f>
        <v>#N/A</v>
      </c>
    </row>
    <row r="57" spans="18:20" x14ac:dyDescent="0.2">
      <c r="R57" s="21" t="s">
        <v>44</v>
      </c>
      <c r="S57" s="21" t="s">
        <v>43</v>
      </c>
      <c r="T57" s="21" t="s">
        <v>3</v>
      </c>
    </row>
    <row r="58" spans="18:20" x14ac:dyDescent="0.2">
      <c r="R58" s="22">
        <v>1</v>
      </c>
      <c r="S58" s="23" t="e">
        <f t="array" ref="S58">INDEX('2026 tavasz'!$B$5:$Z$19, MATCH(R58, '2026 tavasz'!$Z$5:$Z$19, 0),1)</f>
        <v>#N/A</v>
      </c>
      <c r="T58" s="24" t="e">
        <f t="array" ref="T58">INDEX('2026 tavasz'!$B$5:$Z$19, MATCH(R58, '2026 tavasz'!$Z$5:$Z$19, 0),25)</f>
        <v>#N/A</v>
      </c>
    </row>
    <row r="59" spans="18:20" x14ac:dyDescent="0.2">
      <c r="R59" s="22">
        <v>2</v>
      </c>
      <c r="S59" s="23" t="e">
        <f t="array" ref="S59">INDEX('2026 tavasz'!$B$5:$Z$19, MATCH(R59, '2026 tavasz'!$Z$5:$Z$19, 0),1)</f>
        <v>#N/A</v>
      </c>
      <c r="T59" s="24" t="e">
        <f t="array" ref="T59">INDEX('2026 tavasz'!$B$5:$Z$19, MATCH(R59, '2026 tavasz'!$Z$5:$Z$19, 0),25)</f>
        <v>#N/A</v>
      </c>
    </row>
    <row r="60" spans="18:20" x14ac:dyDescent="0.2">
      <c r="R60" s="22">
        <v>3</v>
      </c>
      <c r="S60" s="23" t="e">
        <f t="array" ref="S60">INDEX('2026 tavasz'!$B$5:$Z$19, MATCH(R60, '2026 tavasz'!$Z$5:$Z$19, 0),1)</f>
        <v>#N/A</v>
      </c>
      <c r="T60" s="24" t="e">
        <f t="array" ref="T60">INDEX('2026 tavasz'!$B$5:$Z$19, MATCH(R60, '2026 tavasz'!$Z$5:$Z$19, 0),25)</f>
        <v>#N/A</v>
      </c>
    </row>
    <row r="61" spans="18:20" x14ac:dyDescent="0.2">
      <c r="R61" s="22">
        <v>4</v>
      </c>
      <c r="S61" s="23" t="e">
        <f t="array" ref="S61">INDEX('2026 tavasz'!$B$5:$Z$19, MATCH(R61, '2026 tavasz'!$Z$5:$Z$19, 0),1)</f>
        <v>#N/A</v>
      </c>
      <c r="T61" s="24" t="e">
        <f t="array" ref="T61">INDEX('2026 tavasz'!$B$5:$Z$19, MATCH(R61, '2026 tavasz'!$Z$5:$Z$19, 0),25)</f>
        <v>#N/A</v>
      </c>
    </row>
    <row r="62" spans="18:20" x14ac:dyDescent="0.2">
      <c r="R62" s="22">
        <v>5</v>
      </c>
      <c r="S62" s="23" t="e">
        <f t="array" ref="S62">INDEX('2026 tavasz'!$B$5:$Z$19, MATCH(R62, '2026 tavasz'!$Z$5:$Z$19, 0),1)</f>
        <v>#N/A</v>
      </c>
      <c r="T62" s="24" t="e">
        <f t="array" ref="T62">INDEX('2026 tavasz'!$B$5:$Z$19, MATCH(R62, '2026 tavasz'!$Z$5:$Z$19, 0),25)</f>
        <v>#N/A</v>
      </c>
    </row>
    <row r="63" spans="18:20" x14ac:dyDescent="0.2">
      <c r="R63" s="22">
        <v>6</v>
      </c>
      <c r="S63" s="23" t="e">
        <f t="array" ref="S63">INDEX('2026 tavasz'!$B$5:$Z$19, MATCH(R63, '2026 tavasz'!$Z$5:$Z$19, 0),1)</f>
        <v>#N/A</v>
      </c>
      <c r="T63" s="24" t="e">
        <f t="array" ref="T63">INDEX('2026 tavasz'!$B$5:$Z$19, MATCH(R63, '2026 tavasz'!$Z$5:$Z$19, 0),25)</f>
        <v>#N/A</v>
      </c>
    </row>
    <row r="64" spans="18:20" x14ac:dyDescent="0.2">
      <c r="R64" s="22">
        <v>7</v>
      </c>
      <c r="S64" s="23" t="e">
        <f t="array" ref="S64">INDEX('2026 tavasz'!$B$5:$Z$19, MATCH(R64, '2026 tavasz'!$Z$5:$Z$19, 0),1)</f>
        <v>#N/A</v>
      </c>
      <c r="T64" s="24" t="e">
        <f t="array" ref="T64">INDEX('2026 tavasz'!$B$5:$Z$19, MATCH(R64, '2026 tavasz'!$Z$5:$Z$19, 0),25)</f>
        <v>#N/A</v>
      </c>
    </row>
    <row r="65" spans="4:20" x14ac:dyDescent="0.2">
      <c r="R65" s="22">
        <v>8</v>
      </c>
      <c r="S65" s="23" t="e">
        <f t="array" ref="S65">INDEX('2026 tavasz'!$B$5:$Z$19, MATCH(R65, '2026 tavasz'!$Z$5:$Z$19, 0),1)</f>
        <v>#N/A</v>
      </c>
      <c r="T65" s="24" t="e">
        <f t="array" ref="T65">INDEX('2026 tavasz'!$B$5:$Z$19, MATCH(R65, '2026 tavasz'!$Z$5:$Z$19, 0),25)</f>
        <v>#N/A</v>
      </c>
    </row>
    <row r="66" spans="4:20" x14ac:dyDescent="0.2">
      <c r="R66" s="22">
        <v>9</v>
      </c>
      <c r="S66" s="23" t="e">
        <f t="array" ref="S66">INDEX('2026 tavasz'!$B$5:$Z$19, MATCH(R66, '2026 tavasz'!$Z$5:$Z$19, 0),1)</f>
        <v>#N/A</v>
      </c>
      <c r="T66" s="24" t="e">
        <f t="array" ref="T66">INDEX('2026 tavasz'!$B$5:$Z$19, MATCH(R66, '2026 tavasz'!$Z$5:$Z$19, 0),25)</f>
        <v>#N/A</v>
      </c>
    </row>
    <row r="67" spans="4:20" x14ac:dyDescent="0.2">
      <c r="R67" s="22">
        <v>10</v>
      </c>
      <c r="S67" s="23" t="e">
        <f t="array" ref="S67">INDEX('2026 tavasz'!$B$5:$Z$19, MATCH(R67, '2026 tavasz'!$Z$5:$Z$19, 0),1)</f>
        <v>#N/A</v>
      </c>
      <c r="T67" s="24" t="e">
        <f t="array" ref="T67">INDEX('2026 tavasz'!$B$5:$Z$19, MATCH(R67, '2026 tavasz'!$Z$5:$Z$19, 0),25)</f>
        <v>#N/A</v>
      </c>
    </row>
    <row r="68" spans="4:20" x14ac:dyDescent="0.2">
      <c r="R68" s="22">
        <v>11</v>
      </c>
      <c r="S68" s="23" t="e">
        <f t="array" ref="S68">INDEX('2026 tavasz'!$B$5:$Z$19, MATCH(R68, '2026 tavasz'!$Z$5:$Z$19, 0),1)</f>
        <v>#N/A</v>
      </c>
      <c r="T68" s="24" t="e">
        <f t="array" ref="T68">INDEX('2026 tavasz'!$B$5:$Z$19, MATCH(R68, '2026 tavasz'!$Z$5:$Z$19, 0),25)</f>
        <v>#N/A</v>
      </c>
    </row>
    <row r="69" spans="4:20" x14ac:dyDescent="0.2">
      <c r="R69" s="22">
        <v>12</v>
      </c>
      <c r="S69" s="23" t="e">
        <f t="array" ref="S69">INDEX('2026 tavasz'!$B$5:$Z$19, MATCH(R69, '2026 tavasz'!$Z$5:$Z$19, 0),1)</f>
        <v>#N/A</v>
      </c>
      <c r="T69" s="24" t="e">
        <f t="array" ref="T69">INDEX('2026 tavasz'!$B$5:$Z$19, MATCH(R69, '2026 tavasz'!$Z$5:$Z$19, 0),25)</f>
        <v>#N/A</v>
      </c>
    </row>
    <row r="70" spans="4:20" x14ac:dyDescent="0.2">
      <c r="D70" s="25"/>
      <c r="G70" s="25"/>
      <c r="R70" s="22">
        <v>13</v>
      </c>
      <c r="S70" s="23" t="e">
        <f t="array" ref="S70">INDEX('2026 tavasz'!$B$5:$Z$19, MATCH(R70, '2026 tavasz'!$Z$5:$Z$19, 0),1)</f>
        <v>#N/A</v>
      </c>
      <c r="T70" s="24" t="e">
        <f t="array" ref="T70">INDEX('2026 tavasz'!$B$5:$Z$19, MATCH(R70, '2026 tavasz'!$Z$5:$Z$19, 0),25)</f>
        <v>#N/A</v>
      </c>
    </row>
    <row r="71" spans="4:20" x14ac:dyDescent="0.2">
      <c r="G71" s="25"/>
      <c r="R71" s="22">
        <v>14</v>
      </c>
      <c r="S71" s="23" t="e">
        <f t="array" ref="S71">INDEX('2026 tavasz'!$B$5:$Z$19, MATCH(R71, '2026 tavasz'!$Z$5:$Z$19, 0),1)</f>
        <v>#N/A</v>
      </c>
      <c r="T71" s="24" t="e">
        <f t="array" ref="T71">INDEX('2026 tavasz'!$B$5:$Z$19, MATCH(R71, '2026 tavasz'!$Z$5:$Z$19, 0),25)</f>
        <v>#N/A</v>
      </c>
    </row>
    <row r="72" spans="4:20" x14ac:dyDescent="0.2">
      <c r="G72" s="25"/>
      <c r="R72" s="22">
        <v>15</v>
      </c>
      <c r="S72" s="23" t="e">
        <f t="array" ref="S72">INDEX('2026 tavasz'!$B$5:$Z$19, MATCH(R72, '2026 tavasz'!$Z$5:$Z$19, 0),1)</f>
        <v>#N/A</v>
      </c>
      <c r="T72" s="24" t="e">
        <f t="array" ref="T72">INDEX('2026 tavasz'!$B$5:$Z$19, MATCH(R72, '2026 tavasz'!$Z$5:$Z$19, 0),25)</f>
        <v>#N/A</v>
      </c>
    </row>
    <row r="73" spans="4:20" x14ac:dyDescent="0.2">
      <c r="G73" s="25"/>
    </row>
    <row r="74" spans="4:20" x14ac:dyDescent="0.2">
      <c r="G74" s="25"/>
    </row>
    <row r="75" spans="4:20" x14ac:dyDescent="0.2">
      <c r="G75" s="25"/>
      <c r="R75" s="16" t="s">
        <v>45</v>
      </c>
      <c r="S75" s="19" t="e">
        <f>SUM(T40:T54)</f>
        <v>#N/A</v>
      </c>
    </row>
    <row r="76" spans="4:20" x14ac:dyDescent="0.2">
      <c r="G76" s="25"/>
    </row>
    <row r="77" spans="4:20" x14ac:dyDescent="0.2">
      <c r="G77" s="25"/>
    </row>
    <row r="81" spans="7:9" x14ac:dyDescent="0.2">
      <c r="G81" s="11"/>
      <c r="I81" s="1" t="s">
        <v>46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2:U58"/>
  <sheetViews>
    <sheetView workbookViewId="0"/>
  </sheetViews>
  <sheetFormatPr defaultColWidth="12.5703125" defaultRowHeight="15.75" customHeight="1" x14ac:dyDescent="0.2"/>
  <sheetData>
    <row r="2" spans="2:21" x14ac:dyDescent="0.2">
      <c r="C2" s="1" t="s">
        <v>47</v>
      </c>
      <c r="D2" s="1" t="s">
        <v>48</v>
      </c>
      <c r="E2" s="12" t="str">
        <f>'2026 tavasz'!U3</f>
        <v>Leadandó</v>
      </c>
      <c r="G2" s="26" t="str">
        <f>B4</f>
        <v>Barcsik Kristóf</v>
      </c>
      <c r="H2" s="26" t="str">
        <f>B5</f>
        <v>Galgóczy Ádám</v>
      </c>
      <c r="I2" s="26" t="str">
        <f>B6</f>
        <v>Jávor Tamás</v>
      </c>
      <c r="J2" s="26" t="str">
        <f>B7</f>
        <v>Krekuska Gábor</v>
      </c>
      <c r="K2" s="26" t="str">
        <f>B8</f>
        <v>Molnár György</v>
      </c>
      <c r="L2" s="26" t="str">
        <f>B9</f>
        <v>Varga Szabolcs</v>
      </c>
      <c r="M2" s="26" t="str">
        <f>B10</f>
        <v>Vaspál Gergő</v>
      </c>
      <c r="N2" s="26" t="str">
        <f>B11</f>
        <v>Várnoki Ádám</v>
      </c>
      <c r="O2" s="26" t="str">
        <f>B12</f>
        <v>Szikora István</v>
      </c>
      <c r="P2" s="26" t="str">
        <f>B13</f>
        <v>Kováts Tibor</v>
      </c>
      <c r="Q2" s="26" t="str">
        <f>B14</f>
        <v>Zorván Zoárd</v>
      </c>
      <c r="R2" s="12" t="str">
        <f>B15</f>
        <v>Beötthy Tímea</v>
      </c>
      <c r="S2" s="12" t="str">
        <f>B16</f>
        <v>Kellős György</v>
      </c>
      <c r="T2" s="1" t="s">
        <v>38</v>
      </c>
      <c r="U2" s="1" t="s">
        <v>39</v>
      </c>
    </row>
    <row r="3" spans="2:21" x14ac:dyDescent="0.2">
      <c r="B3" s="12">
        <f>'2026 Tavasz diagram'!B4</f>
        <v>0</v>
      </c>
      <c r="G3" s="26"/>
      <c r="H3" s="26"/>
      <c r="I3" s="26"/>
      <c r="J3" s="26"/>
      <c r="K3" s="26"/>
      <c r="L3" s="26"/>
      <c r="M3" s="26"/>
      <c r="N3" s="26"/>
      <c r="O3" s="26"/>
    </row>
    <row r="4" spans="2:21" x14ac:dyDescent="0.2">
      <c r="B4" s="12" t="str">
        <f>'2026 Tavasz diagram'!B5</f>
        <v>Barcsik Kristóf</v>
      </c>
      <c r="C4" s="10">
        <f>'2026 tavasz'!C5</f>
        <v>116.1</v>
      </c>
      <c r="D4" s="10">
        <f>'2026 tavasz'!T5</f>
        <v>112</v>
      </c>
      <c r="E4" s="10">
        <f>'2026 tavasz'!U5</f>
        <v>4.0999999999999943</v>
      </c>
      <c r="G4" s="27" t="s">
        <v>49</v>
      </c>
      <c r="H4" s="28" t="s">
        <v>50</v>
      </c>
      <c r="I4" s="28" t="s">
        <v>50</v>
      </c>
      <c r="J4" s="28" t="s">
        <v>50</v>
      </c>
      <c r="K4" s="28" t="s">
        <v>50</v>
      </c>
      <c r="L4" s="28" t="s">
        <v>50</v>
      </c>
      <c r="M4" s="28" t="s">
        <v>50</v>
      </c>
      <c r="N4" s="28" t="s">
        <v>50</v>
      </c>
      <c r="O4" s="28" t="s">
        <v>50</v>
      </c>
      <c r="P4" s="29" t="s">
        <v>49</v>
      </c>
      <c r="Q4" s="28" t="s">
        <v>50</v>
      </c>
      <c r="R4" s="29" t="s">
        <v>49</v>
      </c>
      <c r="S4" s="28" t="s">
        <v>50</v>
      </c>
      <c r="T4" s="29" t="s">
        <v>49</v>
      </c>
      <c r="U4" s="28" t="s">
        <v>50</v>
      </c>
    </row>
    <row r="5" spans="2:21" x14ac:dyDescent="0.2">
      <c r="B5" s="12" t="str">
        <f>'2026 Tavasz diagram'!B6</f>
        <v>Galgóczy Ádám</v>
      </c>
      <c r="C5" s="13">
        <f>'2026 tavasz'!C6</f>
        <v>101.5</v>
      </c>
      <c r="D5" s="13">
        <f>'2026 tavasz'!T6</f>
        <v>98</v>
      </c>
      <c r="E5" s="13">
        <f>'2026 tavasz'!U6</f>
        <v>3.5</v>
      </c>
      <c r="G5" s="29" t="s">
        <v>49</v>
      </c>
      <c r="H5" s="27" t="s">
        <v>49</v>
      </c>
      <c r="I5" s="29" t="s">
        <v>49</v>
      </c>
      <c r="J5" s="29" t="s">
        <v>49</v>
      </c>
      <c r="K5" s="29" t="s">
        <v>49</v>
      </c>
      <c r="L5" s="29" t="s">
        <v>49</v>
      </c>
      <c r="M5" s="29" t="s">
        <v>49</v>
      </c>
      <c r="N5" s="29" t="s">
        <v>49</v>
      </c>
      <c r="O5" s="29" t="s">
        <v>49</v>
      </c>
      <c r="P5" s="29" t="s">
        <v>49</v>
      </c>
      <c r="Q5" s="29" t="s">
        <v>49</v>
      </c>
      <c r="R5" s="29" t="s">
        <v>49</v>
      </c>
      <c r="S5" s="29" t="s">
        <v>49</v>
      </c>
      <c r="T5" s="29" t="s">
        <v>49</v>
      </c>
      <c r="U5" s="28" t="s">
        <v>50</v>
      </c>
    </row>
    <row r="6" spans="2:21" x14ac:dyDescent="0.2">
      <c r="B6" s="12" t="str">
        <f>'2026 Tavasz diagram'!B7</f>
        <v>Jávor Tamás</v>
      </c>
      <c r="C6" s="13">
        <f>'2026 tavasz'!C7</f>
        <v>116.3</v>
      </c>
      <c r="D6" s="13">
        <f>'2026 tavasz'!T7</f>
        <v>113</v>
      </c>
      <c r="E6" s="13">
        <f>'2026 tavasz'!U7</f>
        <v>3.2999999999999972</v>
      </c>
      <c r="G6" s="29" t="s">
        <v>49</v>
      </c>
      <c r="H6" s="28" t="s">
        <v>50</v>
      </c>
      <c r="I6" s="27" t="s">
        <v>49</v>
      </c>
      <c r="J6" s="29" t="s">
        <v>49</v>
      </c>
      <c r="K6" s="29" t="s">
        <v>49</v>
      </c>
      <c r="L6" s="29" t="s">
        <v>49</v>
      </c>
      <c r="M6" s="29" t="s">
        <v>49</v>
      </c>
      <c r="N6" s="28" t="s">
        <v>50</v>
      </c>
      <c r="O6" s="29" t="s">
        <v>49</v>
      </c>
      <c r="P6" s="29" t="s">
        <v>49</v>
      </c>
      <c r="Q6" s="29" t="s">
        <v>49</v>
      </c>
      <c r="R6" s="28" t="s">
        <v>50</v>
      </c>
      <c r="S6" s="29" t="s">
        <v>49</v>
      </c>
      <c r="T6" s="29" t="s">
        <v>49</v>
      </c>
      <c r="U6" s="29" t="s">
        <v>49</v>
      </c>
    </row>
    <row r="7" spans="2:21" x14ac:dyDescent="0.2">
      <c r="B7" s="12" t="str">
        <f>'2026 Tavasz diagram'!B8</f>
        <v>Krekuska Gábor</v>
      </c>
      <c r="C7" s="13">
        <f>'2026 tavasz'!C8</f>
        <v>87.7</v>
      </c>
      <c r="D7" s="13">
        <f>'2026 tavasz'!T8</f>
        <v>85</v>
      </c>
      <c r="E7" s="13">
        <f>'2026 tavasz'!U8</f>
        <v>2.7000000000000028</v>
      </c>
      <c r="G7" s="29" t="s">
        <v>49</v>
      </c>
      <c r="H7" s="29" t="s">
        <v>49</v>
      </c>
      <c r="I7" s="29" t="s">
        <v>49</v>
      </c>
      <c r="J7" s="27" t="s">
        <v>49</v>
      </c>
      <c r="K7" s="29" t="s">
        <v>49</v>
      </c>
      <c r="L7" s="29" t="s">
        <v>49</v>
      </c>
      <c r="M7" s="29" t="s">
        <v>49</v>
      </c>
      <c r="N7" s="29" t="s">
        <v>49</v>
      </c>
      <c r="O7" s="29" t="s">
        <v>49</v>
      </c>
      <c r="P7" s="29" t="s">
        <v>49</v>
      </c>
      <c r="Q7" s="29" t="s">
        <v>49</v>
      </c>
      <c r="R7" s="29" t="s">
        <v>49</v>
      </c>
      <c r="S7" s="29" t="s">
        <v>49</v>
      </c>
      <c r="T7" s="29" t="s">
        <v>49</v>
      </c>
      <c r="U7" s="28" t="s">
        <v>50</v>
      </c>
    </row>
    <row r="8" spans="2:21" x14ac:dyDescent="0.2">
      <c r="B8" s="12" t="str">
        <f>'2026 Tavasz diagram'!B9</f>
        <v>Molnár György</v>
      </c>
      <c r="C8" s="13">
        <f>'2026 tavasz'!C9</f>
        <v>88.3</v>
      </c>
      <c r="D8" s="13">
        <f>'2026 tavasz'!T9</f>
        <v>80</v>
      </c>
      <c r="E8" s="13">
        <f>'2026 tavasz'!U9</f>
        <v>8.2999999999999972</v>
      </c>
      <c r="G8" s="29" t="s">
        <v>49</v>
      </c>
      <c r="H8" s="29" t="s">
        <v>49</v>
      </c>
      <c r="I8" s="28" t="s">
        <v>50</v>
      </c>
      <c r="J8" s="29" t="s">
        <v>49</v>
      </c>
      <c r="K8" s="27" t="s">
        <v>49</v>
      </c>
      <c r="L8" s="28" t="s">
        <v>50</v>
      </c>
      <c r="M8" s="29" t="s">
        <v>49</v>
      </c>
      <c r="N8" s="28" t="s">
        <v>50</v>
      </c>
      <c r="O8" s="29" t="s">
        <v>49</v>
      </c>
      <c r="P8" s="28" t="s">
        <v>50</v>
      </c>
      <c r="Q8" s="28" t="s">
        <v>50</v>
      </c>
      <c r="R8" s="29" t="s">
        <v>49</v>
      </c>
      <c r="S8" s="29" t="s">
        <v>49</v>
      </c>
      <c r="T8" s="28" t="s">
        <v>50</v>
      </c>
      <c r="U8" s="28" t="s">
        <v>50</v>
      </c>
    </row>
    <row r="9" spans="2:21" x14ac:dyDescent="0.2">
      <c r="B9" s="12" t="str">
        <f>'2026 Tavasz diagram'!B10</f>
        <v>Varga Szabolcs</v>
      </c>
      <c r="C9" s="13">
        <f>'2026 tavasz'!C10</f>
        <v>105.3</v>
      </c>
      <c r="D9" s="13">
        <f>'2026 tavasz'!T10</f>
        <v>95</v>
      </c>
      <c r="E9" s="13">
        <f>'2026 tavasz'!U10</f>
        <v>10.299999999999997</v>
      </c>
      <c r="G9" s="28" t="s">
        <v>50</v>
      </c>
      <c r="H9" s="28" t="s">
        <v>50</v>
      </c>
      <c r="I9" s="29" t="s">
        <v>49</v>
      </c>
      <c r="J9" s="28" t="s">
        <v>50</v>
      </c>
      <c r="K9" s="28" t="s">
        <v>50</v>
      </c>
      <c r="L9" s="27" t="s">
        <v>49</v>
      </c>
      <c r="M9" s="28" t="s">
        <v>50</v>
      </c>
      <c r="N9" s="28" t="s">
        <v>50</v>
      </c>
      <c r="O9" s="29" t="s">
        <v>49</v>
      </c>
      <c r="P9" s="28" t="s">
        <v>50</v>
      </c>
      <c r="Q9" s="28" t="s">
        <v>50</v>
      </c>
      <c r="R9" s="29" t="s">
        <v>49</v>
      </c>
      <c r="S9" s="28" t="s">
        <v>50</v>
      </c>
      <c r="T9" s="28" t="s">
        <v>50</v>
      </c>
      <c r="U9" s="28" t="s">
        <v>50</v>
      </c>
    </row>
    <row r="10" spans="2:21" x14ac:dyDescent="0.2">
      <c r="B10" s="12" t="str">
        <f>'2026 Tavasz diagram'!B11</f>
        <v>Vaspál Gergő</v>
      </c>
      <c r="C10" s="13">
        <f>'2026 tavasz'!C11</f>
        <v>92.3</v>
      </c>
      <c r="D10" s="13">
        <f>'2026 tavasz'!T11</f>
        <v>89</v>
      </c>
      <c r="E10" s="13">
        <f>'2026 tavasz'!U11</f>
        <v>3.2999999999999972</v>
      </c>
      <c r="G10" s="29" t="s">
        <v>49</v>
      </c>
      <c r="H10" s="28" t="s">
        <v>50</v>
      </c>
      <c r="I10" s="28" t="s">
        <v>50</v>
      </c>
      <c r="J10" s="28" t="s">
        <v>50</v>
      </c>
      <c r="K10" s="29" t="s">
        <v>49</v>
      </c>
      <c r="L10" s="28" t="s">
        <v>50</v>
      </c>
      <c r="M10" s="27" t="s">
        <v>49</v>
      </c>
      <c r="N10" s="29" t="s">
        <v>49</v>
      </c>
      <c r="O10" s="29" t="s">
        <v>49</v>
      </c>
      <c r="P10" s="29" t="s">
        <v>49</v>
      </c>
      <c r="Q10" s="28" t="s">
        <v>50</v>
      </c>
      <c r="R10" s="29" t="s">
        <v>49</v>
      </c>
      <c r="S10" s="29" t="s">
        <v>49</v>
      </c>
      <c r="T10" s="28" t="s">
        <v>50</v>
      </c>
      <c r="U10" s="28" t="s">
        <v>50</v>
      </c>
    </row>
    <row r="11" spans="2:21" x14ac:dyDescent="0.2">
      <c r="B11" s="12" t="str">
        <f>'2026 Tavasz diagram'!B12</f>
        <v>Várnoki Ádám</v>
      </c>
      <c r="C11" s="13">
        <f>'2026 tavasz'!C12</f>
        <v>108.4</v>
      </c>
      <c r="D11" s="13">
        <f>'2026 tavasz'!T12</f>
        <v>100</v>
      </c>
      <c r="E11" s="13">
        <f>'2026 tavasz'!U12</f>
        <v>8.4000000000000057</v>
      </c>
      <c r="G11" s="29" t="s">
        <v>49</v>
      </c>
      <c r="H11" s="28" t="s">
        <v>50</v>
      </c>
      <c r="I11" s="28" t="s">
        <v>50</v>
      </c>
      <c r="J11" s="29" t="s">
        <v>49</v>
      </c>
      <c r="K11" s="28" t="s">
        <v>50</v>
      </c>
      <c r="L11" s="29" t="s">
        <v>49</v>
      </c>
      <c r="M11" s="28" t="s">
        <v>50</v>
      </c>
      <c r="N11" s="27" t="s">
        <v>49</v>
      </c>
      <c r="O11" s="29" t="s">
        <v>49</v>
      </c>
      <c r="P11" s="29" t="s">
        <v>49</v>
      </c>
      <c r="Q11" s="28" t="s">
        <v>50</v>
      </c>
      <c r="R11" s="29" t="s">
        <v>49</v>
      </c>
      <c r="S11" s="28" t="s">
        <v>50</v>
      </c>
      <c r="T11" s="28" t="s">
        <v>50</v>
      </c>
      <c r="U11" s="28" t="s">
        <v>50</v>
      </c>
    </row>
    <row r="12" spans="2:21" x14ac:dyDescent="0.2">
      <c r="B12" s="12" t="str">
        <f>'2026 Tavasz diagram'!B13</f>
        <v>Szikora István</v>
      </c>
      <c r="C12" s="13">
        <f>'2026 tavasz'!C13</f>
        <v>102.1</v>
      </c>
      <c r="D12" s="13">
        <f>'2026 tavasz'!T13</f>
        <v>95</v>
      </c>
      <c r="E12" s="13">
        <f>'2026 tavasz'!U13</f>
        <v>7.0999999999999943</v>
      </c>
      <c r="G12" s="28" t="s">
        <v>50</v>
      </c>
      <c r="H12" s="28" t="s">
        <v>50</v>
      </c>
      <c r="I12" s="28" t="s">
        <v>50</v>
      </c>
      <c r="J12" s="28" t="s">
        <v>50</v>
      </c>
      <c r="K12" s="28" t="s">
        <v>50</v>
      </c>
      <c r="L12" s="28" t="s">
        <v>50</v>
      </c>
      <c r="M12" s="28" t="s">
        <v>50</v>
      </c>
      <c r="N12" s="28" t="s">
        <v>50</v>
      </c>
      <c r="O12" s="27" t="s">
        <v>49</v>
      </c>
      <c r="P12" s="28" t="s">
        <v>50</v>
      </c>
      <c r="Q12" s="28" t="s">
        <v>50</v>
      </c>
      <c r="R12" s="29" t="s">
        <v>49</v>
      </c>
      <c r="S12" s="28" t="s">
        <v>50</v>
      </c>
      <c r="T12" s="28" t="s">
        <v>50</v>
      </c>
      <c r="U12" s="29" t="s">
        <v>49</v>
      </c>
    </row>
    <row r="13" spans="2:21" x14ac:dyDescent="0.2">
      <c r="B13" s="12" t="str">
        <f>'2026 Tavasz diagram'!B14</f>
        <v>Kováts Tibor</v>
      </c>
      <c r="C13" s="13">
        <f>'2026 tavasz'!C14</f>
        <v>97.2</v>
      </c>
      <c r="D13" s="13">
        <f>'2026 tavasz'!T14</f>
        <v>95.9</v>
      </c>
      <c r="E13" s="13">
        <f>'2026 tavasz'!U14</f>
        <v>1.2999999999999972</v>
      </c>
      <c r="G13" s="29" t="s">
        <v>49</v>
      </c>
      <c r="H13" s="28" t="s">
        <v>50</v>
      </c>
      <c r="I13" s="29" t="s">
        <v>49</v>
      </c>
      <c r="J13" s="29" t="s">
        <v>49</v>
      </c>
      <c r="K13" s="29" t="s">
        <v>49</v>
      </c>
      <c r="L13" s="29" t="s">
        <v>49</v>
      </c>
      <c r="M13" s="29" t="s">
        <v>49</v>
      </c>
      <c r="N13" s="29" t="s">
        <v>49</v>
      </c>
      <c r="O13" s="29" t="s">
        <v>49</v>
      </c>
      <c r="P13" s="27" t="s">
        <v>49</v>
      </c>
      <c r="Q13" s="29" t="s">
        <v>49</v>
      </c>
      <c r="R13" s="29" t="s">
        <v>49</v>
      </c>
      <c r="S13" s="28" t="s">
        <v>50</v>
      </c>
      <c r="T13" s="28" t="s">
        <v>50</v>
      </c>
      <c r="U13" s="28" t="s">
        <v>50</v>
      </c>
    </row>
    <row r="14" spans="2:21" x14ac:dyDescent="0.2">
      <c r="B14" s="12" t="str">
        <f>'2026 Tavasz diagram'!B15</f>
        <v>Zorván Zoárd</v>
      </c>
      <c r="C14" s="13">
        <f>'2026 tavasz'!C15</f>
        <v>80.099999999999994</v>
      </c>
      <c r="D14" s="13">
        <f>'2026 tavasz'!T15</f>
        <v>72</v>
      </c>
      <c r="E14" s="13">
        <f>'2026 tavasz'!U15</f>
        <v>8.0999999999999943</v>
      </c>
      <c r="G14" s="29" t="s">
        <v>49</v>
      </c>
      <c r="H14" s="28" t="s">
        <v>50</v>
      </c>
      <c r="I14" s="28" t="s">
        <v>50</v>
      </c>
      <c r="J14" s="28" t="s">
        <v>50</v>
      </c>
      <c r="K14" s="28" t="s">
        <v>50</v>
      </c>
      <c r="L14" s="28" t="s">
        <v>50</v>
      </c>
      <c r="M14" s="28" t="s">
        <v>50</v>
      </c>
      <c r="N14" s="28" t="s">
        <v>50</v>
      </c>
      <c r="O14" s="29" t="s">
        <v>49</v>
      </c>
      <c r="P14" s="28" t="s">
        <v>50</v>
      </c>
      <c r="Q14" s="27" t="s">
        <v>49</v>
      </c>
      <c r="R14" s="28" t="s">
        <v>50</v>
      </c>
      <c r="S14" s="28" t="s">
        <v>50</v>
      </c>
      <c r="T14" s="28" t="s">
        <v>50</v>
      </c>
      <c r="U14" s="29" t="s">
        <v>49</v>
      </c>
    </row>
    <row r="15" spans="2:21" x14ac:dyDescent="0.2">
      <c r="B15" s="12" t="str">
        <f>'2026 Tavasz diagram'!B16</f>
        <v>Beötthy Tímea</v>
      </c>
      <c r="C15" s="13">
        <f>'2026 tavasz'!C16</f>
        <v>63.1</v>
      </c>
      <c r="D15" s="13">
        <f>'2026 tavasz'!T16</f>
        <v>55</v>
      </c>
      <c r="E15" s="13">
        <f>'2026 tavasz'!U16</f>
        <v>8.1000000000000014</v>
      </c>
      <c r="G15" s="29" t="s">
        <v>49</v>
      </c>
      <c r="H15" s="28" t="s">
        <v>50</v>
      </c>
      <c r="I15" s="28" t="s">
        <v>50</v>
      </c>
      <c r="J15" s="28" t="s">
        <v>50</v>
      </c>
      <c r="K15" s="28" t="s">
        <v>50</v>
      </c>
      <c r="L15" s="28" t="s">
        <v>50</v>
      </c>
      <c r="M15" s="29" t="s">
        <v>49</v>
      </c>
      <c r="N15" s="28" t="s">
        <v>50</v>
      </c>
      <c r="O15" s="29" t="s">
        <v>49</v>
      </c>
      <c r="P15" s="28" t="s">
        <v>50</v>
      </c>
      <c r="Q15" s="28" t="s">
        <v>50</v>
      </c>
      <c r="R15" s="27" t="s">
        <v>49</v>
      </c>
      <c r="S15" s="29" t="s">
        <v>49</v>
      </c>
      <c r="T15" s="28" t="s">
        <v>50</v>
      </c>
      <c r="U15" s="28" t="s">
        <v>50</v>
      </c>
    </row>
    <row r="16" spans="2:21" x14ac:dyDescent="0.2">
      <c r="B16" s="12" t="str">
        <f>'2026 Tavasz diagram'!B17</f>
        <v>Kellős György</v>
      </c>
      <c r="C16" s="13">
        <f>'2026 tavasz'!C17</f>
        <v>68.599999999999994</v>
      </c>
      <c r="D16" s="13">
        <f>'2026 tavasz'!T17</f>
        <v>72</v>
      </c>
      <c r="E16" s="13">
        <f>'2026 tavasz'!U17</f>
        <v>-3.4000000000000057</v>
      </c>
      <c r="G16" s="29" t="s">
        <v>49</v>
      </c>
      <c r="H16" s="28" t="s">
        <v>50</v>
      </c>
      <c r="I16" s="28" t="s">
        <v>50</v>
      </c>
      <c r="J16" s="28" t="s">
        <v>50</v>
      </c>
      <c r="K16" s="28" t="s">
        <v>50</v>
      </c>
      <c r="L16" s="28" t="s">
        <v>50</v>
      </c>
      <c r="M16" s="29" t="s">
        <v>49</v>
      </c>
      <c r="N16" s="28" t="s">
        <v>50</v>
      </c>
      <c r="O16" s="29" t="s">
        <v>49</v>
      </c>
      <c r="P16" s="29" t="s">
        <v>49</v>
      </c>
      <c r="Q16" s="28" t="s">
        <v>50</v>
      </c>
      <c r="R16" s="28" t="s">
        <v>50</v>
      </c>
      <c r="S16" s="27" t="s">
        <v>49</v>
      </c>
      <c r="T16" s="28" t="s">
        <v>50</v>
      </c>
      <c r="U16" s="28" t="s">
        <v>50</v>
      </c>
    </row>
    <row r="17" spans="2:21" x14ac:dyDescent="0.2">
      <c r="B17" s="12" t="str">
        <f>'2026 Tavasz diagram'!B18</f>
        <v>Jákob Tamás</v>
      </c>
      <c r="C17" s="13">
        <f>'2026 tavasz'!I18</f>
        <v>103</v>
      </c>
      <c r="D17" s="13">
        <f>'2026 tavasz'!T18</f>
        <v>97</v>
      </c>
      <c r="E17" s="13">
        <f>'2026 tavasz'!U18</f>
        <v>6</v>
      </c>
      <c r="G17" s="29" t="s">
        <v>49</v>
      </c>
      <c r="H17" s="28" t="s">
        <v>50</v>
      </c>
      <c r="I17" s="29" t="s">
        <v>49</v>
      </c>
      <c r="J17" s="28" t="s">
        <v>50</v>
      </c>
      <c r="K17" s="29" t="s">
        <v>49</v>
      </c>
      <c r="L17" s="28" t="s">
        <v>50</v>
      </c>
      <c r="M17" s="28" t="s">
        <v>50</v>
      </c>
      <c r="N17" s="28" t="s">
        <v>50</v>
      </c>
      <c r="O17" s="28" t="s">
        <v>50</v>
      </c>
      <c r="P17" s="29" t="s">
        <v>49</v>
      </c>
      <c r="Q17" s="28" t="s">
        <v>50</v>
      </c>
      <c r="R17" s="28" t="s">
        <v>50</v>
      </c>
      <c r="S17" s="28" t="s">
        <v>50</v>
      </c>
      <c r="T17" s="29" t="s">
        <v>49</v>
      </c>
      <c r="U17" s="28" t="s">
        <v>50</v>
      </c>
    </row>
    <row r="18" spans="2:21" x14ac:dyDescent="0.2">
      <c r="B18" s="12" t="str">
        <f>'2026 Tavasz diagram'!B19</f>
        <v>Tóth Roland</v>
      </c>
      <c r="C18" s="13">
        <f>'2026 tavasz'!I19</f>
        <v>93.6</v>
      </c>
      <c r="D18" s="13">
        <f>'2026 tavasz'!T19</f>
        <v>83.6</v>
      </c>
      <c r="E18" s="13">
        <f>'2026 tavasz'!U19</f>
        <v>10</v>
      </c>
      <c r="G18" s="29" t="s">
        <v>49</v>
      </c>
      <c r="H18" s="28" t="s">
        <v>50</v>
      </c>
      <c r="I18" s="28" t="s">
        <v>50</v>
      </c>
      <c r="J18" s="28" t="s">
        <v>50</v>
      </c>
      <c r="K18" s="28" t="s">
        <v>50</v>
      </c>
      <c r="L18" s="28" t="s">
        <v>50</v>
      </c>
      <c r="M18" s="28" t="s">
        <v>50</v>
      </c>
      <c r="N18" s="28" t="s">
        <v>50</v>
      </c>
      <c r="O18" s="28" t="s">
        <v>50</v>
      </c>
      <c r="P18" s="28" t="s">
        <v>50</v>
      </c>
      <c r="Q18" s="28" t="s">
        <v>50</v>
      </c>
      <c r="R18" s="28" t="s">
        <v>50</v>
      </c>
      <c r="S18" s="28" t="s">
        <v>50</v>
      </c>
      <c r="T18" s="28" t="s">
        <v>50</v>
      </c>
      <c r="U18" s="29" t="s">
        <v>49</v>
      </c>
    </row>
    <row r="22" spans="2:21" x14ac:dyDescent="0.2">
      <c r="B22" s="12">
        <f>'2026 Tavasz diagram'!B20</f>
        <v>0</v>
      </c>
    </row>
    <row r="23" spans="2:21" x14ac:dyDescent="0.2">
      <c r="B23" s="30"/>
      <c r="C23" s="31" t="s">
        <v>48</v>
      </c>
      <c r="D23" s="31" t="s">
        <v>51</v>
      </c>
      <c r="E23" s="31" t="s">
        <v>52</v>
      </c>
      <c r="F23" s="32" t="s">
        <v>53</v>
      </c>
      <c r="G23" s="17" t="s">
        <v>54</v>
      </c>
      <c r="I23" s="33" t="s">
        <v>55</v>
      </c>
    </row>
    <row r="24" spans="2:21" x14ac:dyDescent="0.2">
      <c r="B24" s="34" t="str">
        <f>'2026 Tavasz diagram'!B22</f>
        <v>Barcsik Kristóf</v>
      </c>
      <c r="C24" s="35">
        <f t="shared" ref="C24:C38" si="0">D4</f>
        <v>112</v>
      </c>
      <c r="D24" s="36" t="e">
        <f>IF('2026 tavasz'!#REF!="",C4,'2026 tavasz'!#REF!)</f>
        <v>#REF!</v>
      </c>
      <c r="E24" s="37" t="e">
        <f t="shared" ref="E24:E35" si="1">IF(D24&lt;C24,"Igen","Nem")</f>
        <v>#REF!</v>
      </c>
      <c r="F24" s="38" t="e">
        <f t="shared" ref="F24:F38" si="2">D24-C24</f>
        <v>#REF!</v>
      </c>
      <c r="G24" s="39" t="e">
        <f t="shared" ref="G24:G38" si="3">F24/10</f>
        <v>#REF!</v>
      </c>
      <c r="I24" s="40">
        <v>0</v>
      </c>
    </row>
    <row r="25" spans="2:21" x14ac:dyDescent="0.2">
      <c r="B25" s="41" t="str">
        <f>'2026 Tavasz diagram'!B23</f>
        <v>Galgóczy Ádám</v>
      </c>
      <c r="C25" s="42">
        <f t="shared" si="0"/>
        <v>98</v>
      </c>
      <c r="D25" s="42" t="e">
        <f>IF('2026 tavasz'!#REF!="",C5,'2026 tavasz'!#REF!)</f>
        <v>#REF!</v>
      </c>
      <c r="E25" s="26" t="e">
        <f t="shared" si="1"/>
        <v>#REF!</v>
      </c>
      <c r="F25" s="43" t="e">
        <f t="shared" si="2"/>
        <v>#REF!</v>
      </c>
      <c r="G25" s="44" t="e">
        <f t="shared" si="3"/>
        <v>#REF!</v>
      </c>
      <c r="I25" s="40">
        <v>0</v>
      </c>
    </row>
    <row r="26" spans="2:21" x14ac:dyDescent="0.2">
      <c r="B26" s="41" t="str">
        <f>'2026 Tavasz diagram'!B24</f>
        <v>Jávor Tamás</v>
      </c>
      <c r="C26" s="42">
        <f t="shared" si="0"/>
        <v>113</v>
      </c>
      <c r="D26" s="42" t="e">
        <f>IF('2026 tavasz'!#REF!="",C6,'2026 tavasz'!#REF!)</f>
        <v>#REF!</v>
      </c>
      <c r="E26" s="26" t="e">
        <f t="shared" si="1"/>
        <v>#REF!</v>
      </c>
      <c r="F26" s="43" t="e">
        <f t="shared" si="2"/>
        <v>#REF!</v>
      </c>
      <c r="G26" s="44" t="e">
        <f t="shared" si="3"/>
        <v>#REF!</v>
      </c>
      <c r="I26" s="40">
        <v>0</v>
      </c>
    </row>
    <row r="27" spans="2:21" x14ac:dyDescent="0.2">
      <c r="B27" s="41" t="str">
        <f>'2026 Tavasz diagram'!B25</f>
        <v>Krekuska Gábor</v>
      </c>
      <c r="C27" s="42">
        <f t="shared" si="0"/>
        <v>85</v>
      </c>
      <c r="D27" s="42" t="e">
        <f>IF('2026 tavasz'!#REF!="",C7,'2026 tavasz'!#REF!)</f>
        <v>#REF!</v>
      </c>
      <c r="E27" s="26" t="e">
        <f t="shared" si="1"/>
        <v>#REF!</v>
      </c>
      <c r="F27" s="43" t="e">
        <f t="shared" si="2"/>
        <v>#REF!</v>
      </c>
      <c r="G27" s="44" t="e">
        <f t="shared" si="3"/>
        <v>#REF!</v>
      </c>
      <c r="I27" s="40">
        <v>0</v>
      </c>
    </row>
    <row r="28" spans="2:21" x14ac:dyDescent="0.2">
      <c r="B28" s="41" t="str">
        <f>'2026 Tavasz diagram'!B26</f>
        <v>Molnár György</v>
      </c>
      <c r="C28" s="42">
        <f t="shared" si="0"/>
        <v>80</v>
      </c>
      <c r="D28" s="42" t="e">
        <f>IF('2026 tavasz'!#REF!="",C8,'2026 tavasz'!#REF!)</f>
        <v>#REF!</v>
      </c>
      <c r="E28" s="26" t="e">
        <f t="shared" si="1"/>
        <v>#REF!</v>
      </c>
      <c r="F28" s="43" t="e">
        <f t="shared" si="2"/>
        <v>#REF!</v>
      </c>
      <c r="G28" s="44" t="e">
        <f t="shared" si="3"/>
        <v>#REF!</v>
      </c>
      <c r="I28" s="40">
        <v>0</v>
      </c>
    </row>
    <row r="29" spans="2:21" x14ac:dyDescent="0.2">
      <c r="B29" s="41" t="str">
        <f>'2026 Tavasz diagram'!B27</f>
        <v>Varga Szabolcs</v>
      </c>
      <c r="C29" s="42">
        <f t="shared" si="0"/>
        <v>95</v>
      </c>
      <c r="D29" s="42" t="e">
        <f>IF('2026 tavasz'!#REF!="",C9,'2026 tavasz'!#REF!)</f>
        <v>#REF!</v>
      </c>
      <c r="E29" s="26" t="e">
        <f t="shared" si="1"/>
        <v>#REF!</v>
      </c>
      <c r="F29" s="43" t="e">
        <f t="shared" si="2"/>
        <v>#REF!</v>
      </c>
      <c r="G29" s="44" t="e">
        <f t="shared" si="3"/>
        <v>#REF!</v>
      </c>
      <c r="I29" s="40">
        <v>0</v>
      </c>
    </row>
    <row r="30" spans="2:21" x14ac:dyDescent="0.2">
      <c r="B30" s="41" t="str">
        <f>'2026 Tavasz diagram'!B28</f>
        <v>Vaspál Gergő</v>
      </c>
      <c r="C30" s="42">
        <f t="shared" si="0"/>
        <v>89</v>
      </c>
      <c r="D30" s="42" t="e">
        <f>IF('2026 tavasz'!#REF!="",C10,'2026 tavasz'!#REF!)</f>
        <v>#REF!</v>
      </c>
      <c r="E30" s="26" t="e">
        <f t="shared" si="1"/>
        <v>#REF!</v>
      </c>
      <c r="F30" s="43" t="e">
        <f t="shared" si="2"/>
        <v>#REF!</v>
      </c>
      <c r="G30" s="44" t="e">
        <f t="shared" si="3"/>
        <v>#REF!</v>
      </c>
      <c r="I30" s="40">
        <v>0</v>
      </c>
    </row>
    <row r="31" spans="2:21" x14ac:dyDescent="0.2">
      <c r="B31" s="41" t="str">
        <f>'2026 Tavasz diagram'!B29</f>
        <v>Várnoki Ádám</v>
      </c>
      <c r="C31" s="42">
        <f t="shared" si="0"/>
        <v>100</v>
      </c>
      <c r="D31" s="42" t="e">
        <f>IF('2026 tavasz'!#REF!="",C11,'2026 tavasz'!#REF!)</f>
        <v>#REF!</v>
      </c>
      <c r="E31" s="26" t="e">
        <f t="shared" si="1"/>
        <v>#REF!</v>
      </c>
      <c r="F31" s="43" t="e">
        <f t="shared" si="2"/>
        <v>#REF!</v>
      </c>
      <c r="G31" s="44" t="e">
        <f t="shared" si="3"/>
        <v>#REF!</v>
      </c>
      <c r="I31" s="40">
        <v>0</v>
      </c>
    </row>
    <row r="32" spans="2:21" x14ac:dyDescent="0.2">
      <c r="B32" s="41" t="str">
        <f>'2026 Tavasz diagram'!B30</f>
        <v>Szikora István</v>
      </c>
      <c r="C32" s="42">
        <f t="shared" si="0"/>
        <v>95</v>
      </c>
      <c r="D32" s="42" t="e">
        <f>IF('2026 tavasz'!#REF!="",C12,'2026 tavasz'!#REF!)</f>
        <v>#REF!</v>
      </c>
      <c r="E32" s="26" t="e">
        <f t="shared" si="1"/>
        <v>#REF!</v>
      </c>
      <c r="F32" s="43" t="e">
        <f t="shared" si="2"/>
        <v>#REF!</v>
      </c>
      <c r="G32" s="44" t="e">
        <f t="shared" si="3"/>
        <v>#REF!</v>
      </c>
      <c r="I32" s="40">
        <v>0</v>
      </c>
    </row>
    <row r="33" spans="2:9" x14ac:dyDescent="0.2">
      <c r="B33" s="41" t="str">
        <f>'2026 Tavasz diagram'!B31</f>
        <v>Kováts Tibor</v>
      </c>
      <c r="C33" s="42">
        <f t="shared" si="0"/>
        <v>95.9</v>
      </c>
      <c r="D33" s="42" t="e">
        <f>IF('2026 tavasz'!#REF!="",C13,'2026 tavasz'!#REF!)</f>
        <v>#REF!</v>
      </c>
      <c r="E33" s="26" t="e">
        <f t="shared" si="1"/>
        <v>#REF!</v>
      </c>
      <c r="F33" s="43" t="e">
        <f t="shared" si="2"/>
        <v>#REF!</v>
      </c>
      <c r="G33" s="44" t="e">
        <f t="shared" si="3"/>
        <v>#REF!</v>
      </c>
      <c r="I33" s="40">
        <v>0</v>
      </c>
    </row>
    <row r="34" spans="2:9" x14ac:dyDescent="0.2">
      <c r="B34" s="41" t="str">
        <f>'2026 Tavasz diagram'!B32</f>
        <v>Zorván Zoárd</v>
      </c>
      <c r="C34" s="42">
        <f t="shared" si="0"/>
        <v>72</v>
      </c>
      <c r="D34" s="42" t="e">
        <f>IF('2026 tavasz'!#REF!="",C14,'2026 tavasz'!#REF!)</f>
        <v>#REF!</v>
      </c>
      <c r="E34" s="26" t="e">
        <f t="shared" si="1"/>
        <v>#REF!</v>
      </c>
      <c r="F34" s="43" t="e">
        <f t="shared" si="2"/>
        <v>#REF!</v>
      </c>
      <c r="G34" s="44" t="e">
        <f t="shared" si="3"/>
        <v>#REF!</v>
      </c>
      <c r="I34" s="40">
        <v>0</v>
      </c>
    </row>
    <row r="35" spans="2:9" x14ac:dyDescent="0.2">
      <c r="B35" s="41" t="str">
        <f>'2026 Tavasz diagram'!B33</f>
        <v>Beötthy Tímea</v>
      </c>
      <c r="C35" s="42">
        <f t="shared" si="0"/>
        <v>55</v>
      </c>
      <c r="D35" s="42" t="e">
        <f>IF('2026 tavasz'!#REF!="",C15,'2026 tavasz'!#REF!)</f>
        <v>#REF!</v>
      </c>
      <c r="E35" s="26" t="e">
        <f t="shared" si="1"/>
        <v>#REF!</v>
      </c>
      <c r="F35" s="43" t="e">
        <f t="shared" si="2"/>
        <v>#REF!</v>
      </c>
      <c r="G35" s="44" t="e">
        <f t="shared" si="3"/>
        <v>#REF!</v>
      </c>
      <c r="I35" s="40">
        <v>0</v>
      </c>
    </row>
    <row r="36" spans="2:9" x14ac:dyDescent="0.2">
      <c r="B36" s="45" t="str">
        <f>'2026 Tavasz diagram'!B34</f>
        <v>Kellős György</v>
      </c>
      <c r="C36" s="46">
        <f t="shared" si="0"/>
        <v>72</v>
      </c>
      <c r="D36" s="46" t="e">
        <f>'2026 tavasz'!#REF!</f>
        <v>#REF!</v>
      </c>
      <c r="E36" s="26" t="e">
        <f>IF(D36&gt;C36,"Igen","Nem")</f>
        <v>#REF!</v>
      </c>
      <c r="F36" s="47" t="e">
        <f t="shared" si="2"/>
        <v>#REF!</v>
      </c>
      <c r="G36" s="44" t="e">
        <f t="shared" si="3"/>
        <v>#REF!</v>
      </c>
      <c r="I36" s="40">
        <v>0</v>
      </c>
    </row>
    <row r="37" spans="2:9" x14ac:dyDescent="0.2">
      <c r="B37" s="41" t="str">
        <f>'2026 Tavasz diagram'!B35</f>
        <v>Jákob Tamás</v>
      </c>
      <c r="C37" s="42">
        <f t="shared" si="0"/>
        <v>97</v>
      </c>
      <c r="D37" s="42" t="e">
        <f>IF('2026 tavasz'!#REF!="",C17,'2026 tavasz'!#REF!)</f>
        <v>#REF!</v>
      </c>
      <c r="E37" s="26" t="e">
        <f t="shared" ref="E37:E38" si="4">IF(D37&lt;C37,"Igen","Nem")</f>
        <v>#REF!</v>
      </c>
      <c r="F37" s="43" t="e">
        <f t="shared" si="2"/>
        <v>#REF!</v>
      </c>
      <c r="G37" s="44" t="e">
        <f t="shared" si="3"/>
        <v>#REF!</v>
      </c>
      <c r="I37" s="40">
        <v>0</v>
      </c>
    </row>
    <row r="38" spans="2:9" x14ac:dyDescent="0.2">
      <c r="B38" s="48" t="str">
        <f>'2026 Tavasz diagram'!B36</f>
        <v>Tóth Roland</v>
      </c>
      <c r="C38" s="49">
        <f t="shared" si="0"/>
        <v>83.6</v>
      </c>
      <c r="D38" s="49" t="e">
        <f>IF('2026 tavasz'!#REF!="",C18,'2026 tavasz'!#REF!)</f>
        <v>#REF!</v>
      </c>
      <c r="E38" s="50" t="e">
        <f t="shared" si="4"/>
        <v>#REF!</v>
      </c>
      <c r="F38" s="51" t="e">
        <f t="shared" si="2"/>
        <v>#REF!</v>
      </c>
      <c r="G38" s="52" t="e">
        <f t="shared" si="3"/>
        <v>#REF!</v>
      </c>
      <c r="I38" s="53">
        <v>0</v>
      </c>
    </row>
    <row r="41" spans="2:9" x14ac:dyDescent="0.2">
      <c r="B41" s="34"/>
      <c r="C41" s="102" t="s">
        <v>56</v>
      </c>
      <c r="D41" s="103"/>
      <c r="E41" s="103"/>
      <c r="F41" s="104"/>
    </row>
    <row r="42" spans="2:9" x14ac:dyDescent="0.2">
      <c r="B42" s="41"/>
      <c r="C42" s="54" t="s">
        <v>57</v>
      </c>
      <c r="D42" s="55" t="s">
        <v>58</v>
      </c>
      <c r="E42" s="55" t="s">
        <v>59</v>
      </c>
      <c r="F42" s="56" t="s">
        <v>60</v>
      </c>
    </row>
    <row r="43" spans="2:9" x14ac:dyDescent="0.2">
      <c r="B43" s="41"/>
      <c r="C43" s="57" t="s">
        <v>61</v>
      </c>
      <c r="D43" s="58" t="s">
        <v>62</v>
      </c>
      <c r="E43" s="58" t="s">
        <v>63</v>
      </c>
      <c r="F43" s="59" t="s">
        <v>64</v>
      </c>
    </row>
    <row r="44" spans="2:9" x14ac:dyDescent="0.2">
      <c r="B44" s="34" t="str">
        <f>'2026 Tavasz diagram'!B22</f>
        <v>Barcsik Kristóf</v>
      </c>
      <c r="C44" s="60" t="e">
        <f t="shared" ref="C44:C55" si="5">IF(D24&lt;(C24+E4*0.75),"Igen","Nem")</f>
        <v>#REF!</v>
      </c>
      <c r="D44" s="37" t="e">
        <f t="shared" ref="D44:D55" si="6">IF(D24&lt;(C24+E4*0.5),"Igen","Nem")</f>
        <v>#REF!</v>
      </c>
      <c r="E44" s="37" t="e">
        <f t="shared" ref="E44:E55" si="7">IF(D24&lt;(C24+E4*0.25),"Igen","Nem")</f>
        <v>#REF!</v>
      </c>
      <c r="F44" s="61" t="e">
        <f>IF(D24&lt;(C24),"Igen","Nem")</f>
        <v>#REF!</v>
      </c>
      <c r="H44" s="34" t="str">
        <f>'2026 Tavasz diagram'!B22</f>
        <v>Barcsik Kristóf</v>
      </c>
      <c r="I44" s="62" t="e">
        <f t="shared" ref="I44:I55" si="8">IF(D24="",0,IF(D24&gt;C4,0,(C4-D24)/E4))</f>
        <v>#REF!</v>
      </c>
    </row>
    <row r="45" spans="2:9" x14ac:dyDescent="0.2">
      <c r="B45" s="41" t="str">
        <f>'2026 Tavasz diagram'!B23</f>
        <v>Galgóczy Ádám</v>
      </c>
      <c r="C45" s="63" t="e">
        <f t="shared" si="5"/>
        <v>#REF!</v>
      </c>
      <c r="D45" s="26" t="e">
        <f t="shared" si="6"/>
        <v>#REF!</v>
      </c>
      <c r="E45" s="26" t="e">
        <f t="shared" si="7"/>
        <v>#REF!</v>
      </c>
      <c r="F45" s="64" t="e">
        <f>IF(D25&lt;(C25+E5*0.25),"Igen","Nem")</f>
        <v>#REF!</v>
      </c>
      <c r="H45" s="41" t="str">
        <f>'2026 Tavasz diagram'!B23</f>
        <v>Galgóczy Ádám</v>
      </c>
      <c r="I45" s="65" t="e">
        <f t="shared" si="8"/>
        <v>#REF!</v>
      </c>
    </row>
    <row r="46" spans="2:9" x14ac:dyDescent="0.2">
      <c r="B46" s="41" t="str">
        <f>'2026 Tavasz diagram'!B24</f>
        <v>Jávor Tamás</v>
      </c>
      <c r="C46" s="63" t="e">
        <f t="shared" si="5"/>
        <v>#REF!</v>
      </c>
      <c r="D46" s="26" t="e">
        <f t="shared" si="6"/>
        <v>#REF!</v>
      </c>
      <c r="E46" s="26" t="e">
        <f t="shared" si="7"/>
        <v>#REF!</v>
      </c>
      <c r="F46" s="64" t="e">
        <f t="shared" ref="F46:F55" si="9">IF(D26&lt;(C26),"Igen","Nem")</f>
        <v>#REF!</v>
      </c>
      <c r="H46" s="41" t="str">
        <f>'2026 Tavasz diagram'!B24</f>
        <v>Jávor Tamás</v>
      </c>
      <c r="I46" s="65" t="e">
        <f t="shared" si="8"/>
        <v>#REF!</v>
      </c>
    </row>
    <row r="47" spans="2:9" x14ac:dyDescent="0.2">
      <c r="B47" s="41" t="str">
        <f>'2026 Tavasz diagram'!B25</f>
        <v>Krekuska Gábor</v>
      </c>
      <c r="C47" s="63" t="e">
        <f t="shared" si="5"/>
        <v>#REF!</v>
      </c>
      <c r="D47" s="26" t="e">
        <f t="shared" si="6"/>
        <v>#REF!</v>
      </c>
      <c r="E47" s="26" t="e">
        <f t="shared" si="7"/>
        <v>#REF!</v>
      </c>
      <c r="F47" s="64" t="e">
        <f t="shared" si="9"/>
        <v>#REF!</v>
      </c>
      <c r="H47" s="41" t="str">
        <f>'2026 Tavasz diagram'!B25</f>
        <v>Krekuska Gábor</v>
      </c>
      <c r="I47" s="65" t="e">
        <f t="shared" si="8"/>
        <v>#REF!</v>
      </c>
    </row>
    <row r="48" spans="2:9" x14ac:dyDescent="0.2">
      <c r="B48" s="41" t="str">
        <f>'2026 Tavasz diagram'!B26</f>
        <v>Molnár György</v>
      </c>
      <c r="C48" s="63" t="e">
        <f t="shared" si="5"/>
        <v>#REF!</v>
      </c>
      <c r="D48" s="26" t="e">
        <f t="shared" si="6"/>
        <v>#REF!</v>
      </c>
      <c r="E48" s="26" t="e">
        <f t="shared" si="7"/>
        <v>#REF!</v>
      </c>
      <c r="F48" s="64" t="e">
        <f t="shared" si="9"/>
        <v>#REF!</v>
      </c>
      <c r="H48" s="41" t="str">
        <f>'2026 Tavasz diagram'!B26</f>
        <v>Molnár György</v>
      </c>
      <c r="I48" s="65" t="e">
        <f t="shared" si="8"/>
        <v>#REF!</v>
      </c>
    </row>
    <row r="49" spans="2:9" x14ac:dyDescent="0.2">
      <c r="B49" s="41" t="str">
        <f>'2026 Tavasz diagram'!B27</f>
        <v>Varga Szabolcs</v>
      </c>
      <c r="C49" s="63" t="e">
        <f t="shared" si="5"/>
        <v>#REF!</v>
      </c>
      <c r="D49" s="26" t="e">
        <f t="shared" si="6"/>
        <v>#REF!</v>
      </c>
      <c r="E49" s="26" t="e">
        <f t="shared" si="7"/>
        <v>#REF!</v>
      </c>
      <c r="F49" s="64" t="e">
        <f t="shared" si="9"/>
        <v>#REF!</v>
      </c>
      <c r="H49" s="41" t="str">
        <f>'2026 Tavasz diagram'!B27</f>
        <v>Varga Szabolcs</v>
      </c>
      <c r="I49" s="65" t="e">
        <f t="shared" si="8"/>
        <v>#REF!</v>
      </c>
    </row>
    <row r="50" spans="2:9" x14ac:dyDescent="0.2">
      <c r="B50" s="41" t="str">
        <f>'2026 Tavasz diagram'!B28</f>
        <v>Vaspál Gergő</v>
      </c>
      <c r="C50" s="63" t="e">
        <f t="shared" si="5"/>
        <v>#REF!</v>
      </c>
      <c r="D50" s="26" t="e">
        <f t="shared" si="6"/>
        <v>#REF!</v>
      </c>
      <c r="E50" s="26" t="e">
        <f t="shared" si="7"/>
        <v>#REF!</v>
      </c>
      <c r="F50" s="64" t="e">
        <f t="shared" si="9"/>
        <v>#REF!</v>
      </c>
      <c r="H50" s="41" t="str">
        <f>'2026 Tavasz diagram'!B28</f>
        <v>Vaspál Gergő</v>
      </c>
      <c r="I50" s="65" t="e">
        <f t="shared" si="8"/>
        <v>#REF!</v>
      </c>
    </row>
    <row r="51" spans="2:9" x14ac:dyDescent="0.2">
      <c r="B51" s="41" t="str">
        <f>'2026 Tavasz diagram'!B29</f>
        <v>Várnoki Ádám</v>
      </c>
      <c r="C51" s="63" t="e">
        <f t="shared" si="5"/>
        <v>#REF!</v>
      </c>
      <c r="D51" s="26" t="e">
        <f t="shared" si="6"/>
        <v>#REF!</v>
      </c>
      <c r="E51" s="26" t="e">
        <f t="shared" si="7"/>
        <v>#REF!</v>
      </c>
      <c r="F51" s="64" t="e">
        <f t="shared" si="9"/>
        <v>#REF!</v>
      </c>
      <c r="H51" s="41" t="str">
        <f>'2026 Tavasz diagram'!B29</f>
        <v>Várnoki Ádám</v>
      </c>
      <c r="I51" s="65" t="e">
        <f t="shared" si="8"/>
        <v>#REF!</v>
      </c>
    </row>
    <row r="52" spans="2:9" x14ac:dyDescent="0.2">
      <c r="B52" s="41" t="str">
        <f>'2026 Tavasz diagram'!B30</f>
        <v>Szikora István</v>
      </c>
      <c r="C52" s="63" t="e">
        <f t="shared" si="5"/>
        <v>#REF!</v>
      </c>
      <c r="D52" s="26" t="e">
        <f t="shared" si="6"/>
        <v>#REF!</v>
      </c>
      <c r="E52" s="26" t="e">
        <f t="shared" si="7"/>
        <v>#REF!</v>
      </c>
      <c r="F52" s="64" t="e">
        <f t="shared" si="9"/>
        <v>#REF!</v>
      </c>
      <c r="H52" s="41" t="str">
        <f>'2026 Tavasz diagram'!B30</f>
        <v>Szikora István</v>
      </c>
      <c r="I52" s="65" t="e">
        <f t="shared" si="8"/>
        <v>#REF!</v>
      </c>
    </row>
    <row r="53" spans="2:9" x14ac:dyDescent="0.2">
      <c r="B53" s="41" t="str">
        <f>'2026 Tavasz diagram'!B31</f>
        <v>Kováts Tibor</v>
      </c>
      <c r="C53" s="63" t="e">
        <f t="shared" si="5"/>
        <v>#REF!</v>
      </c>
      <c r="D53" s="26" t="e">
        <f t="shared" si="6"/>
        <v>#REF!</v>
      </c>
      <c r="E53" s="26" t="e">
        <f t="shared" si="7"/>
        <v>#REF!</v>
      </c>
      <c r="F53" s="64" t="e">
        <f t="shared" si="9"/>
        <v>#REF!</v>
      </c>
      <c r="H53" s="41" t="str">
        <f>'2026 Tavasz diagram'!B31</f>
        <v>Kováts Tibor</v>
      </c>
      <c r="I53" s="65" t="e">
        <f t="shared" si="8"/>
        <v>#REF!</v>
      </c>
    </row>
    <row r="54" spans="2:9" x14ac:dyDescent="0.2">
      <c r="B54" s="41" t="str">
        <f>'2026 Tavasz diagram'!B32</f>
        <v>Zorván Zoárd</v>
      </c>
      <c r="C54" s="63" t="e">
        <f t="shared" si="5"/>
        <v>#REF!</v>
      </c>
      <c r="D54" s="26" t="e">
        <f t="shared" si="6"/>
        <v>#REF!</v>
      </c>
      <c r="E54" s="26" t="e">
        <f t="shared" si="7"/>
        <v>#REF!</v>
      </c>
      <c r="F54" s="64" t="e">
        <f t="shared" si="9"/>
        <v>#REF!</v>
      </c>
      <c r="H54" s="41" t="str">
        <f>'2026 Tavasz diagram'!B32</f>
        <v>Zorván Zoárd</v>
      </c>
      <c r="I54" s="65" t="e">
        <f t="shared" si="8"/>
        <v>#REF!</v>
      </c>
    </row>
    <row r="55" spans="2:9" x14ac:dyDescent="0.2">
      <c r="B55" s="41" t="str">
        <f>'2026 Tavasz diagram'!B33</f>
        <v>Beötthy Tímea</v>
      </c>
      <c r="C55" s="63" t="e">
        <f t="shared" si="5"/>
        <v>#REF!</v>
      </c>
      <c r="D55" s="26" t="e">
        <f t="shared" si="6"/>
        <v>#REF!</v>
      </c>
      <c r="E55" s="26" t="e">
        <f t="shared" si="7"/>
        <v>#REF!</v>
      </c>
      <c r="F55" s="64" t="e">
        <f t="shared" si="9"/>
        <v>#REF!</v>
      </c>
      <c r="H55" s="41" t="str">
        <f>'2026 Tavasz diagram'!B33</f>
        <v>Beötthy Tímea</v>
      </c>
      <c r="I55" s="65" t="e">
        <f t="shared" si="8"/>
        <v>#REF!</v>
      </c>
    </row>
    <row r="56" spans="2:9" x14ac:dyDescent="0.2">
      <c r="B56" s="41" t="str">
        <f>'2026 Tavasz diagram'!B34</f>
        <v>Kellős György</v>
      </c>
      <c r="C56" s="26" t="e">
        <f>IF(D36&gt;(C36+E16*0.75),"Igen","Nem")</f>
        <v>#REF!</v>
      </c>
      <c r="D56" s="26" t="e">
        <f>IF(D36&gt;(C36+E16*0.5),"Igen","Nem")</f>
        <v>#REF!</v>
      </c>
      <c r="E56" s="26" t="e">
        <f>IF(D36&gt;(C36+E16*0.25),"Igen","Nem")</f>
        <v>#REF!</v>
      </c>
      <c r="F56" s="64" t="e">
        <f>IF(D36&gt;(C36),"Igen","Nem")</f>
        <v>#REF!</v>
      </c>
      <c r="H56" s="41" t="str">
        <f>'2026 Tavasz diagram'!B34</f>
        <v>Kellős György</v>
      </c>
      <c r="I56" s="65" t="e">
        <f>IF(D36="",0,IF(D36&lt;C16,0,(C16-D36)/E16))</f>
        <v>#REF!</v>
      </c>
    </row>
    <row r="57" spans="2:9" x14ac:dyDescent="0.2">
      <c r="B57" s="41" t="str">
        <f>'2026 Tavasz diagram'!B35</f>
        <v>Jákob Tamás</v>
      </c>
      <c r="C57" s="63" t="e">
        <f t="shared" ref="C57:C58" si="10">IF(D37&lt;(C37+E17*0.75),"Igen","Nem")</f>
        <v>#REF!</v>
      </c>
      <c r="D57" s="26" t="e">
        <f t="shared" ref="D57:D58" si="11">IF(D37&lt;(C37+E17*0.5),"Igen","Nem")</f>
        <v>#REF!</v>
      </c>
      <c r="E57" s="26" t="e">
        <f t="shared" ref="E57:E58" si="12">IF(D37&lt;(C37+E17*0.25),"Igen","Nem")</f>
        <v>#REF!</v>
      </c>
      <c r="F57" s="64" t="e">
        <f t="shared" ref="F57:F58" si="13">IF(D37&lt;(C37),"Igen","Nem")</f>
        <v>#REF!</v>
      </c>
      <c r="H57" s="41" t="str">
        <f>'2026 Tavasz diagram'!B35</f>
        <v>Jákob Tamás</v>
      </c>
      <c r="I57" s="65" t="e">
        <f t="shared" ref="I57:I58" si="14">IF(D37="",0,IF(D37&gt;C17,0,(C17-D37)/E17))</f>
        <v>#REF!</v>
      </c>
    </row>
    <row r="58" spans="2:9" x14ac:dyDescent="0.2">
      <c r="B58" s="48" t="str">
        <f>'2026 Tavasz diagram'!B36</f>
        <v>Tóth Roland</v>
      </c>
      <c r="C58" s="66" t="e">
        <f t="shared" si="10"/>
        <v>#REF!</v>
      </c>
      <c r="D58" s="50" t="e">
        <f t="shared" si="11"/>
        <v>#REF!</v>
      </c>
      <c r="E58" s="50" t="e">
        <f t="shared" si="12"/>
        <v>#REF!</v>
      </c>
      <c r="F58" s="67" t="e">
        <f t="shared" si="13"/>
        <v>#REF!</v>
      </c>
      <c r="H58" s="48" t="str">
        <f>'2026 Tavasz diagram'!B36</f>
        <v>Tóth Roland</v>
      </c>
      <c r="I58" s="68" t="e">
        <f t="shared" si="14"/>
        <v>#REF!</v>
      </c>
    </row>
  </sheetData>
  <mergeCells count="1">
    <mergeCell ref="C41:F41"/>
  </mergeCells>
  <conditionalFormatting sqref="E24:E38 C44:F58">
    <cfRule type="cellIs" dxfId="5" priority="1" operator="equal">
      <formula>"Nem"</formula>
    </cfRule>
  </conditionalFormatting>
  <conditionalFormatting sqref="E24:E38 C44:F58">
    <cfRule type="cellIs" dxfId="4" priority="2" operator="equal">
      <formula>"Igen"</formula>
    </cfRule>
  </conditionalFormatting>
  <conditionalFormatting sqref="G24:G38">
    <cfRule type="cellIs" dxfId="3" priority="3" operator="lessThan">
      <formula>0.5</formula>
    </cfRule>
  </conditionalFormatting>
  <conditionalFormatting sqref="G24:G38">
    <cfRule type="cellIs" dxfId="2" priority="4" operator="between">
      <formula>0.5</formula>
      <formula>0.99</formula>
    </cfRule>
  </conditionalFormatting>
  <conditionalFormatting sqref="G24:G38">
    <cfRule type="cellIs" dxfId="1" priority="5" operator="between">
      <formula>1</formula>
      <formula>1.5</formula>
    </cfRule>
  </conditionalFormatting>
  <conditionalFormatting sqref="G24:G38">
    <cfRule type="cellIs" dxfId="0" priority="6" operator="between">
      <formula>1.51</formula>
      <formula>99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3:AT32"/>
  <sheetViews>
    <sheetView workbookViewId="0"/>
  </sheetViews>
  <sheetFormatPr defaultColWidth="12.5703125" defaultRowHeight="15.75" customHeight="1" x14ac:dyDescent="0.2"/>
  <cols>
    <col min="2" max="2" width="13.5703125" customWidth="1"/>
  </cols>
  <sheetData>
    <row r="3" spans="2:46" x14ac:dyDescent="0.2">
      <c r="C3" s="2">
        <v>45698</v>
      </c>
      <c r="D3" s="3">
        <v>45705</v>
      </c>
      <c r="E3" s="3">
        <v>45712</v>
      </c>
      <c r="F3" s="3">
        <v>45719</v>
      </c>
      <c r="G3" s="3">
        <v>45726</v>
      </c>
      <c r="H3" s="3">
        <v>45733</v>
      </c>
      <c r="I3" s="3">
        <v>45740</v>
      </c>
      <c r="J3" s="3">
        <v>45747</v>
      </c>
      <c r="K3" s="3">
        <v>45754</v>
      </c>
      <c r="L3" s="4">
        <v>45761</v>
      </c>
      <c r="M3" s="5">
        <v>45769</v>
      </c>
      <c r="N3" s="5">
        <v>45775</v>
      </c>
      <c r="O3" s="5">
        <v>45782</v>
      </c>
      <c r="P3" s="5">
        <v>45789</v>
      </c>
      <c r="Q3" s="5">
        <v>45796</v>
      </c>
      <c r="R3" s="5">
        <v>45803</v>
      </c>
      <c r="S3" s="5">
        <v>45810</v>
      </c>
      <c r="T3" s="3">
        <v>45818</v>
      </c>
      <c r="U3" s="3">
        <v>45824</v>
      </c>
      <c r="V3" s="3">
        <v>45831</v>
      </c>
      <c r="W3" s="3">
        <v>45838</v>
      </c>
      <c r="X3" s="3">
        <v>45845</v>
      </c>
      <c r="Y3" s="3">
        <v>45852</v>
      </c>
      <c r="Z3" s="3">
        <v>45859</v>
      </c>
      <c r="AA3" s="3">
        <v>45866</v>
      </c>
      <c r="AB3" s="3"/>
      <c r="AC3" s="3"/>
      <c r="AD3" s="3"/>
      <c r="AE3" s="2">
        <v>45894</v>
      </c>
      <c r="AF3" s="3">
        <v>45901</v>
      </c>
      <c r="AG3" s="3">
        <v>45908</v>
      </c>
      <c r="AH3" s="3">
        <v>45915</v>
      </c>
      <c r="AI3" s="3">
        <v>45922</v>
      </c>
      <c r="AJ3" s="3">
        <v>45929</v>
      </c>
      <c r="AK3" s="3">
        <v>45936</v>
      </c>
      <c r="AL3" s="3">
        <v>45943</v>
      </c>
      <c r="AM3" s="3">
        <v>45950</v>
      </c>
      <c r="AN3" s="4">
        <v>45957</v>
      </c>
      <c r="AO3" s="5">
        <v>45964</v>
      </c>
      <c r="AP3" s="5">
        <v>45971</v>
      </c>
      <c r="AQ3" s="5">
        <v>45978</v>
      </c>
      <c r="AR3" s="5">
        <v>45985</v>
      </c>
      <c r="AS3" s="5">
        <v>45992</v>
      </c>
      <c r="AT3" s="5">
        <v>45999</v>
      </c>
    </row>
    <row r="4" spans="2:46" x14ac:dyDescent="0.2">
      <c r="C4" s="1" t="s">
        <v>10</v>
      </c>
      <c r="D4" s="7" t="s">
        <v>11</v>
      </c>
      <c r="E4" s="7" t="s">
        <v>65</v>
      </c>
      <c r="F4" s="7" t="s">
        <v>13</v>
      </c>
      <c r="G4" s="7" t="s">
        <v>14</v>
      </c>
      <c r="H4" s="7" t="s">
        <v>66</v>
      </c>
      <c r="I4" s="7" t="s">
        <v>16</v>
      </c>
      <c r="J4" s="7" t="s">
        <v>17</v>
      </c>
      <c r="K4" s="7" t="s">
        <v>67</v>
      </c>
      <c r="L4" s="7" t="s">
        <v>19</v>
      </c>
      <c r="M4" s="6" t="s">
        <v>20</v>
      </c>
      <c r="N4" s="6" t="s">
        <v>68</v>
      </c>
      <c r="O4" s="6" t="s">
        <v>22</v>
      </c>
      <c r="P4" s="6" t="s">
        <v>23</v>
      </c>
      <c r="Q4" s="6" t="s">
        <v>24</v>
      </c>
      <c r="R4" s="6" t="s">
        <v>69</v>
      </c>
      <c r="S4" s="6" t="s">
        <v>70</v>
      </c>
      <c r="T4" s="7" t="s">
        <v>71</v>
      </c>
      <c r="U4" s="7" t="s">
        <v>72</v>
      </c>
      <c r="V4" s="7" t="s">
        <v>73</v>
      </c>
      <c r="W4" s="7" t="s">
        <v>74</v>
      </c>
      <c r="X4" s="7" t="s">
        <v>75</v>
      </c>
      <c r="Y4" s="7" t="s">
        <v>76</v>
      </c>
      <c r="Z4" s="7" t="s">
        <v>77</v>
      </c>
      <c r="AA4" s="7" t="s">
        <v>78</v>
      </c>
      <c r="AB4" s="7" t="s">
        <v>79</v>
      </c>
      <c r="AC4" s="7" t="s">
        <v>80</v>
      </c>
      <c r="AD4" s="7" t="s">
        <v>81</v>
      </c>
      <c r="AE4" s="7" t="s">
        <v>82</v>
      </c>
      <c r="AF4" s="7" t="s">
        <v>83</v>
      </c>
      <c r="AG4" s="7" t="s">
        <v>84</v>
      </c>
      <c r="AH4" s="7" t="s">
        <v>85</v>
      </c>
      <c r="AI4" s="7" t="s">
        <v>86</v>
      </c>
      <c r="AJ4" s="7" t="s">
        <v>87</v>
      </c>
      <c r="AK4" s="7" t="s">
        <v>88</v>
      </c>
      <c r="AL4" s="7" t="s">
        <v>89</v>
      </c>
      <c r="AM4" s="7" t="s">
        <v>90</v>
      </c>
      <c r="AN4" s="7" t="s">
        <v>91</v>
      </c>
      <c r="AO4" s="7" t="s">
        <v>92</v>
      </c>
      <c r="AP4" s="7" t="s">
        <v>93</v>
      </c>
      <c r="AQ4" s="7" t="s">
        <v>94</v>
      </c>
      <c r="AR4" s="7" t="s">
        <v>95</v>
      </c>
      <c r="AS4" s="7" t="s">
        <v>96</v>
      </c>
      <c r="AT4" s="7" t="s">
        <v>97</v>
      </c>
    </row>
    <row r="5" spans="2:46" x14ac:dyDescent="0.2">
      <c r="B5" s="1" t="s">
        <v>25</v>
      </c>
      <c r="C5" s="8">
        <v>113.7</v>
      </c>
      <c r="D5" s="9">
        <v>113</v>
      </c>
      <c r="E5" s="9">
        <v>113.3</v>
      </c>
      <c r="F5" s="9">
        <v>113.8</v>
      </c>
      <c r="G5" s="9">
        <v>113.3</v>
      </c>
      <c r="H5" s="9">
        <v>114</v>
      </c>
      <c r="I5" s="9">
        <v>113.6</v>
      </c>
      <c r="J5" s="9">
        <v>115.2</v>
      </c>
      <c r="K5" s="9">
        <v>114.3</v>
      </c>
      <c r="L5" s="9">
        <v>114.6</v>
      </c>
      <c r="M5" s="9">
        <v>114</v>
      </c>
      <c r="N5" s="9">
        <v>114.7</v>
      </c>
      <c r="O5" s="9">
        <v>114.8</v>
      </c>
      <c r="P5" s="9">
        <v>115.6</v>
      </c>
      <c r="Q5" s="9">
        <v>116.6</v>
      </c>
      <c r="R5" s="9">
        <v>115.1</v>
      </c>
      <c r="S5" s="9">
        <v>115.2</v>
      </c>
      <c r="T5" s="9">
        <v>114.8</v>
      </c>
      <c r="U5" s="9">
        <v>115.8</v>
      </c>
      <c r="V5" s="9">
        <v>116.7</v>
      </c>
      <c r="W5" s="9">
        <v>114.9</v>
      </c>
      <c r="X5" s="9">
        <v>116.6</v>
      </c>
      <c r="Y5" s="9">
        <v>116.6</v>
      </c>
      <c r="Z5" s="9">
        <v>115.2</v>
      </c>
      <c r="AA5" s="9">
        <v>114.8</v>
      </c>
      <c r="AB5" s="9"/>
      <c r="AC5" s="9"/>
      <c r="AD5" s="9"/>
      <c r="AE5" s="9">
        <f>'2026 tavasz'!C5</f>
        <v>116.1</v>
      </c>
      <c r="AF5" s="9">
        <f>'2026 tavasz'!D5</f>
        <v>116.1</v>
      </c>
      <c r="AG5" s="9">
        <f>'2026 tavasz'!E5</f>
        <v>116.1</v>
      </c>
      <c r="AH5" s="9">
        <f>'2026 tavasz'!F5</f>
        <v>113.4</v>
      </c>
      <c r="AI5" s="9">
        <f>'2026 tavasz'!G5</f>
        <v>113.6</v>
      </c>
      <c r="AJ5" s="9">
        <f>'2026 tavasz'!H5</f>
        <v>113</v>
      </c>
      <c r="AK5" s="9">
        <f>'2026 tavasz'!I5</f>
        <v>113.5</v>
      </c>
      <c r="AL5" s="9">
        <f>'2026 tavasz'!J5</f>
        <v>113.5</v>
      </c>
      <c r="AM5" s="9">
        <f>'2026 tavasz'!K5</f>
        <v>114</v>
      </c>
      <c r="AN5" s="9">
        <f>'2026 tavasz'!L5</f>
        <v>0</v>
      </c>
      <c r="AO5" s="9">
        <f>'2026 tavasz'!M5</f>
        <v>0</v>
      </c>
      <c r="AP5" s="9">
        <f>'2026 tavasz'!N5</f>
        <v>0</v>
      </c>
      <c r="AQ5" s="9">
        <f>'2026 tavasz'!O5</f>
        <v>0</v>
      </c>
      <c r="AR5" s="9">
        <f>'2026 tavasz'!P5</f>
        <v>0</v>
      </c>
      <c r="AS5" s="9">
        <f>'2026 tavasz'!Q5</f>
        <v>0</v>
      </c>
      <c r="AT5" s="9">
        <f>'2026 tavasz'!R5</f>
        <v>0</v>
      </c>
    </row>
    <row r="6" spans="2:46" x14ac:dyDescent="0.2">
      <c r="B6" s="1" t="s">
        <v>26</v>
      </c>
      <c r="C6" s="9">
        <v>107.5</v>
      </c>
      <c r="D6" s="9">
        <v>106.2</v>
      </c>
      <c r="E6" s="9">
        <v>105.3</v>
      </c>
      <c r="F6" s="9">
        <v>106</v>
      </c>
      <c r="G6" s="9">
        <v>106</v>
      </c>
      <c r="H6" s="9">
        <v>106.3</v>
      </c>
      <c r="I6" s="9">
        <v>103.6</v>
      </c>
      <c r="J6" s="9">
        <v>102.5</v>
      </c>
      <c r="K6" s="9">
        <v>102.4</v>
      </c>
      <c r="L6" s="9">
        <v>102.6</v>
      </c>
      <c r="M6" s="9">
        <v>103.3</v>
      </c>
      <c r="N6" s="9">
        <v>103.3</v>
      </c>
      <c r="O6" s="9">
        <v>103.3</v>
      </c>
      <c r="P6" s="9">
        <v>102.2</v>
      </c>
      <c r="Q6" s="9">
        <v>103</v>
      </c>
      <c r="R6" s="9">
        <v>103.9</v>
      </c>
      <c r="S6" s="9">
        <v>99.4</v>
      </c>
      <c r="T6" s="9">
        <v>100.5</v>
      </c>
      <c r="U6" s="9">
        <v>102</v>
      </c>
      <c r="V6" s="9">
        <v>101.1</v>
      </c>
      <c r="W6" s="9">
        <v>101.3</v>
      </c>
      <c r="X6" s="9">
        <v>102.6</v>
      </c>
      <c r="Y6" s="9">
        <v>101.5</v>
      </c>
      <c r="Z6" s="9">
        <v>102.3</v>
      </c>
      <c r="AA6" s="9">
        <v>102.6</v>
      </c>
      <c r="AB6" s="9"/>
      <c r="AC6" s="9"/>
      <c r="AD6" s="9"/>
      <c r="AE6" s="9">
        <f>'2026 tavasz'!C6</f>
        <v>101.5</v>
      </c>
      <c r="AF6" s="9">
        <f>'2026 tavasz'!D6</f>
        <v>101.7</v>
      </c>
      <c r="AG6" s="9">
        <f>'2026 tavasz'!E6</f>
        <v>100.9</v>
      </c>
      <c r="AH6" s="9">
        <f>'2026 tavasz'!F6</f>
        <v>101.1</v>
      </c>
      <c r="AI6" s="9">
        <f>'2026 tavasz'!G6</f>
        <v>101</v>
      </c>
      <c r="AJ6" s="9">
        <f>'2026 tavasz'!H6</f>
        <v>102</v>
      </c>
      <c r="AK6" s="9">
        <f>'2026 tavasz'!I6</f>
        <v>101.6</v>
      </c>
      <c r="AL6" s="9">
        <f>'2026 tavasz'!J6</f>
        <v>102.4</v>
      </c>
      <c r="AM6" s="9">
        <f>'2026 tavasz'!K6</f>
        <v>101.8</v>
      </c>
      <c r="AN6" s="9">
        <f>'2026 tavasz'!L6</f>
        <v>0</v>
      </c>
      <c r="AO6" s="9">
        <f>'2026 tavasz'!M6</f>
        <v>0</v>
      </c>
      <c r="AP6" s="9">
        <f>'2026 tavasz'!N6</f>
        <v>0</v>
      </c>
      <c r="AQ6" s="9">
        <f>'2026 tavasz'!O6</f>
        <v>0</v>
      </c>
      <c r="AR6" s="9">
        <f>'2026 tavasz'!P6</f>
        <v>0</v>
      </c>
      <c r="AS6" s="9">
        <f>'2026 tavasz'!Q6</f>
        <v>0</v>
      </c>
      <c r="AT6" s="9">
        <f>'2026 tavasz'!R6</f>
        <v>0</v>
      </c>
    </row>
    <row r="7" spans="2:46" x14ac:dyDescent="0.2">
      <c r="B7" s="1" t="s">
        <v>27</v>
      </c>
      <c r="C7" s="9">
        <v>117.7</v>
      </c>
      <c r="D7" s="9">
        <v>117.7</v>
      </c>
      <c r="E7" s="9">
        <v>117.6</v>
      </c>
      <c r="F7" s="9">
        <v>118</v>
      </c>
      <c r="G7" s="9">
        <v>118.1</v>
      </c>
      <c r="H7" s="9">
        <v>117</v>
      </c>
      <c r="I7" s="9">
        <v>116.1</v>
      </c>
      <c r="J7" s="9">
        <v>116.4</v>
      </c>
      <c r="K7" s="9">
        <v>115.5</v>
      </c>
      <c r="L7" s="9">
        <v>115.5</v>
      </c>
      <c r="M7" s="9">
        <v>115.6</v>
      </c>
      <c r="N7" s="9">
        <v>115.3</v>
      </c>
      <c r="O7" s="9">
        <v>114.5</v>
      </c>
      <c r="P7" s="9">
        <v>114.1</v>
      </c>
      <c r="Q7" s="9">
        <v>114.6</v>
      </c>
      <c r="R7" s="9">
        <v>114.6</v>
      </c>
      <c r="S7" s="9">
        <v>113.6</v>
      </c>
      <c r="T7" s="9">
        <v>112.5</v>
      </c>
      <c r="U7" s="9">
        <v>112.5</v>
      </c>
      <c r="V7" s="9">
        <v>112.2</v>
      </c>
      <c r="W7" s="9">
        <v>112.2</v>
      </c>
      <c r="X7" s="9">
        <v>111.3</v>
      </c>
      <c r="Y7" s="9">
        <v>111.3</v>
      </c>
      <c r="Z7" s="9">
        <v>110.6</v>
      </c>
      <c r="AA7" s="9">
        <v>110.6</v>
      </c>
      <c r="AB7" s="9"/>
      <c r="AC7" s="9"/>
      <c r="AD7" s="9"/>
      <c r="AE7" s="9">
        <f>'2026 tavasz'!C7</f>
        <v>116.3</v>
      </c>
      <c r="AF7" s="9">
        <f>'2026 tavasz'!D7</f>
        <v>116</v>
      </c>
      <c r="AG7" s="9">
        <f>'2026 tavasz'!E7</f>
        <v>114</v>
      </c>
      <c r="AH7" s="9">
        <f>'2026 tavasz'!F7</f>
        <v>114.3</v>
      </c>
      <c r="AI7" s="9">
        <f>'2026 tavasz'!G7</f>
        <v>112.6</v>
      </c>
      <c r="AJ7" s="9">
        <f>'2026 tavasz'!H7</f>
        <v>113.6</v>
      </c>
      <c r="AK7" s="9">
        <f>'2026 tavasz'!I7</f>
        <v>112.4</v>
      </c>
      <c r="AL7" s="9">
        <f>'2026 tavasz'!J7</f>
        <v>112</v>
      </c>
      <c r="AM7" s="9">
        <f>'2026 tavasz'!K7</f>
        <v>111.8</v>
      </c>
      <c r="AN7" s="9">
        <f>'2026 tavasz'!L7</f>
        <v>0</v>
      </c>
      <c r="AO7" s="9">
        <f>'2026 tavasz'!M7</f>
        <v>0</v>
      </c>
      <c r="AP7" s="9">
        <f>'2026 tavasz'!N7</f>
        <v>0</v>
      </c>
      <c r="AQ7" s="9">
        <f>'2026 tavasz'!O7</f>
        <v>0</v>
      </c>
      <c r="AR7" s="9">
        <f>'2026 tavasz'!P7</f>
        <v>0</v>
      </c>
      <c r="AS7" s="9">
        <f>'2026 tavasz'!Q7</f>
        <v>0</v>
      </c>
      <c r="AT7" s="9">
        <f>'2026 tavasz'!R7</f>
        <v>0</v>
      </c>
    </row>
    <row r="8" spans="2:46" x14ac:dyDescent="0.2">
      <c r="B8" s="1" t="s">
        <v>28</v>
      </c>
      <c r="C8" s="9">
        <v>89</v>
      </c>
      <c r="D8" s="9">
        <v>88.4</v>
      </c>
      <c r="E8" s="9">
        <v>88.1</v>
      </c>
      <c r="F8" s="9">
        <v>87</v>
      </c>
      <c r="G8" s="9">
        <v>87.7</v>
      </c>
      <c r="H8" s="9">
        <v>87.5</v>
      </c>
      <c r="I8" s="9">
        <v>87.4</v>
      </c>
      <c r="J8" s="9">
        <v>88.5</v>
      </c>
      <c r="K8" s="9">
        <v>87.2</v>
      </c>
      <c r="L8" s="9">
        <v>87.8</v>
      </c>
      <c r="M8" s="9">
        <v>88.2</v>
      </c>
      <c r="N8" s="9">
        <v>89.7</v>
      </c>
      <c r="O8" s="9">
        <v>89.9</v>
      </c>
      <c r="P8" s="9">
        <v>88</v>
      </c>
      <c r="Q8" s="9">
        <v>87.6</v>
      </c>
      <c r="R8" s="9">
        <v>88.1</v>
      </c>
      <c r="S8" s="9">
        <v>85.6</v>
      </c>
      <c r="T8" s="9">
        <v>88</v>
      </c>
      <c r="U8" s="9">
        <v>86.8</v>
      </c>
      <c r="V8" s="9">
        <v>87.8</v>
      </c>
      <c r="W8" s="9">
        <v>88.1</v>
      </c>
      <c r="X8" s="9">
        <v>88.2</v>
      </c>
      <c r="Y8" s="9">
        <v>88.2</v>
      </c>
      <c r="Z8" s="9">
        <v>88.5</v>
      </c>
      <c r="AA8" s="9">
        <v>87.8</v>
      </c>
      <c r="AB8" s="9"/>
      <c r="AC8" s="9"/>
      <c r="AD8" s="9"/>
      <c r="AE8" s="9">
        <f>'2026 tavasz'!C8</f>
        <v>87.7</v>
      </c>
      <c r="AF8" s="9">
        <f>'2026 tavasz'!D8</f>
        <v>88</v>
      </c>
      <c r="AG8" s="9">
        <f>'2026 tavasz'!E8</f>
        <v>88</v>
      </c>
      <c r="AH8" s="9">
        <f>'2026 tavasz'!F8</f>
        <v>87.7</v>
      </c>
      <c r="AI8" s="9">
        <f>'2026 tavasz'!G8</f>
        <v>87.7</v>
      </c>
      <c r="AJ8" s="9">
        <f>'2026 tavasz'!H8</f>
        <v>87.2</v>
      </c>
      <c r="AK8" s="9">
        <f>'2026 tavasz'!I8</f>
        <v>88</v>
      </c>
      <c r="AL8" s="9">
        <f>'2026 tavasz'!J8</f>
        <v>87.3</v>
      </c>
      <c r="AM8" s="9">
        <f>'2026 tavasz'!K8</f>
        <v>87.7</v>
      </c>
      <c r="AN8" s="9">
        <f>'2026 tavasz'!L8</f>
        <v>0</v>
      </c>
      <c r="AO8" s="9">
        <f>'2026 tavasz'!M8</f>
        <v>0</v>
      </c>
      <c r="AP8" s="9">
        <f>'2026 tavasz'!N8</f>
        <v>0</v>
      </c>
      <c r="AQ8" s="9">
        <f>'2026 tavasz'!O8</f>
        <v>0</v>
      </c>
      <c r="AR8" s="9">
        <f>'2026 tavasz'!P8</f>
        <v>0</v>
      </c>
      <c r="AS8" s="9">
        <f>'2026 tavasz'!Q8</f>
        <v>0</v>
      </c>
      <c r="AT8" s="9">
        <f>'2026 tavasz'!R8</f>
        <v>0</v>
      </c>
    </row>
    <row r="9" spans="2:46" x14ac:dyDescent="0.2">
      <c r="B9" s="1" t="s">
        <v>29</v>
      </c>
      <c r="C9" s="9">
        <v>94.3</v>
      </c>
      <c r="D9" s="9">
        <v>92.5</v>
      </c>
      <c r="E9" s="9">
        <v>92.5</v>
      </c>
      <c r="F9" s="9">
        <v>91.7</v>
      </c>
      <c r="G9" s="9">
        <v>92.3</v>
      </c>
      <c r="H9" s="9">
        <v>92.1</v>
      </c>
      <c r="I9" s="9">
        <v>93</v>
      </c>
      <c r="J9" s="9">
        <v>93</v>
      </c>
      <c r="K9" s="9">
        <v>93</v>
      </c>
      <c r="L9" s="9">
        <v>92.8</v>
      </c>
      <c r="M9" s="9">
        <v>93.4</v>
      </c>
      <c r="N9" s="9">
        <v>93.2</v>
      </c>
      <c r="O9" s="9">
        <v>93.9</v>
      </c>
      <c r="P9" s="9">
        <v>91.7</v>
      </c>
      <c r="Q9" s="9">
        <v>93</v>
      </c>
      <c r="R9" s="9">
        <v>93.7</v>
      </c>
      <c r="S9" s="9">
        <v>90.6</v>
      </c>
      <c r="T9" s="9">
        <v>91.7</v>
      </c>
      <c r="U9" s="9">
        <v>92.4</v>
      </c>
      <c r="V9" s="9">
        <v>92.5</v>
      </c>
      <c r="W9" s="9">
        <v>91.4</v>
      </c>
      <c r="X9" s="9">
        <v>91.2</v>
      </c>
      <c r="Y9" s="9">
        <v>91.6</v>
      </c>
      <c r="Z9" s="9">
        <v>90.6</v>
      </c>
      <c r="AA9" s="9">
        <v>89.8</v>
      </c>
      <c r="AB9" s="9"/>
      <c r="AC9" s="9"/>
      <c r="AD9" s="9"/>
      <c r="AE9" s="9">
        <f>'2026 tavasz'!C9</f>
        <v>88.3</v>
      </c>
      <c r="AF9" s="9">
        <f>'2026 tavasz'!D9</f>
        <v>87.2</v>
      </c>
      <c r="AG9" s="9">
        <f>'2026 tavasz'!E9</f>
        <v>86.1</v>
      </c>
      <c r="AH9" s="9">
        <f>'2026 tavasz'!F9</f>
        <v>85.6</v>
      </c>
      <c r="AI9" s="9">
        <f>'2026 tavasz'!G9</f>
        <v>84.7</v>
      </c>
      <c r="AJ9" s="9">
        <f>'2026 tavasz'!H9</f>
        <v>83.8</v>
      </c>
      <c r="AK9" s="9">
        <f>'2026 tavasz'!I9</f>
        <v>85</v>
      </c>
      <c r="AL9" s="9">
        <f>'2026 tavasz'!J9</f>
        <v>83.8</v>
      </c>
      <c r="AM9" s="9">
        <f>'2026 tavasz'!K9</f>
        <v>83.4</v>
      </c>
      <c r="AN9" s="9">
        <f>'2026 tavasz'!L9</f>
        <v>0</v>
      </c>
      <c r="AO9" s="9">
        <f>'2026 tavasz'!M9</f>
        <v>0</v>
      </c>
      <c r="AP9" s="9">
        <f>'2026 tavasz'!N9</f>
        <v>0</v>
      </c>
      <c r="AQ9" s="9">
        <f>'2026 tavasz'!O9</f>
        <v>0</v>
      </c>
      <c r="AR9" s="9">
        <f>'2026 tavasz'!P9</f>
        <v>0</v>
      </c>
      <c r="AS9" s="9">
        <f>'2026 tavasz'!Q9</f>
        <v>0</v>
      </c>
      <c r="AT9" s="9">
        <f>'2026 tavasz'!R9</f>
        <v>0</v>
      </c>
    </row>
    <row r="10" spans="2:46" x14ac:dyDescent="0.2">
      <c r="B10" s="1" t="s">
        <v>30</v>
      </c>
      <c r="C10" s="9">
        <v>98.7</v>
      </c>
      <c r="D10" s="9">
        <v>98.3</v>
      </c>
      <c r="E10" s="9">
        <v>98.1</v>
      </c>
      <c r="F10" s="9">
        <v>98</v>
      </c>
      <c r="G10" s="9">
        <v>98.1</v>
      </c>
      <c r="H10" s="9">
        <v>97.9</v>
      </c>
      <c r="I10" s="9">
        <v>97.7</v>
      </c>
      <c r="J10" s="9">
        <v>97.2</v>
      </c>
      <c r="K10" s="9">
        <v>97.9</v>
      </c>
      <c r="L10" s="9">
        <v>98</v>
      </c>
      <c r="M10" s="9">
        <v>98.7</v>
      </c>
      <c r="N10" s="9">
        <v>98</v>
      </c>
      <c r="O10" s="9">
        <v>98.1</v>
      </c>
      <c r="P10" s="9">
        <v>97.8</v>
      </c>
      <c r="Q10" s="9">
        <v>97.7</v>
      </c>
      <c r="R10" s="9">
        <v>96.6</v>
      </c>
      <c r="S10" s="9">
        <v>96.2</v>
      </c>
      <c r="T10" s="9">
        <v>98.4</v>
      </c>
      <c r="U10" s="9">
        <v>99</v>
      </c>
      <c r="V10" s="9">
        <v>98.2</v>
      </c>
      <c r="W10" s="9">
        <v>99</v>
      </c>
      <c r="X10" s="9">
        <v>97.9</v>
      </c>
      <c r="Y10" s="9">
        <v>99.3</v>
      </c>
      <c r="Z10" s="9">
        <v>100</v>
      </c>
      <c r="AA10" s="9">
        <v>100.8</v>
      </c>
      <c r="AB10" s="9"/>
      <c r="AC10" s="9"/>
      <c r="AD10" s="9"/>
      <c r="AE10" s="9">
        <f>'2026 tavasz'!C10</f>
        <v>105.3</v>
      </c>
      <c r="AF10" s="9">
        <f>'2026 tavasz'!D10</f>
        <v>104</v>
      </c>
      <c r="AG10" s="9">
        <f>'2026 tavasz'!E10</f>
        <v>104</v>
      </c>
      <c r="AH10" s="9">
        <f>'2026 tavasz'!F10</f>
        <v>102.6</v>
      </c>
      <c r="AI10" s="9">
        <f>'2026 tavasz'!G10</f>
        <v>101.9</v>
      </c>
      <c r="AJ10" s="9">
        <f>'2026 tavasz'!H10</f>
        <v>102.3</v>
      </c>
      <c r="AK10" s="9">
        <f>'2026 tavasz'!I10</f>
        <v>102.3</v>
      </c>
      <c r="AL10" s="9">
        <f>'2026 tavasz'!J10</f>
        <v>101.3</v>
      </c>
      <c r="AM10" s="9">
        <f>'2026 tavasz'!K10</f>
        <v>101.6</v>
      </c>
      <c r="AN10" s="9">
        <f>'2026 tavasz'!L10</f>
        <v>0</v>
      </c>
      <c r="AO10" s="9">
        <f>'2026 tavasz'!M10</f>
        <v>0</v>
      </c>
      <c r="AP10" s="9">
        <f>'2026 tavasz'!N10</f>
        <v>0</v>
      </c>
      <c r="AQ10" s="9">
        <f>'2026 tavasz'!O10</f>
        <v>0</v>
      </c>
      <c r="AR10" s="9">
        <f>'2026 tavasz'!P10</f>
        <v>0</v>
      </c>
      <c r="AS10" s="9">
        <f>'2026 tavasz'!Q10</f>
        <v>0</v>
      </c>
      <c r="AT10" s="9">
        <f>'2026 tavasz'!R10</f>
        <v>0</v>
      </c>
    </row>
    <row r="11" spans="2:46" x14ac:dyDescent="0.2">
      <c r="B11" s="1" t="s">
        <v>31</v>
      </c>
      <c r="C11" s="9">
        <v>89.3</v>
      </c>
      <c r="D11" s="9">
        <v>91.2</v>
      </c>
      <c r="E11" s="9">
        <v>92.1</v>
      </c>
      <c r="F11" s="9">
        <v>92.3</v>
      </c>
      <c r="G11" s="9">
        <v>91.5</v>
      </c>
      <c r="H11" s="9">
        <v>91.6</v>
      </c>
      <c r="I11" s="9">
        <v>93.4</v>
      </c>
      <c r="J11" s="9">
        <v>93.1</v>
      </c>
      <c r="K11" s="9">
        <v>92.1</v>
      </c>
      <c r="L11" s="9">
        <v>93.4</v>
      </c>
      <c r="M11" s="9">
        <v>93</v>
      </c>
      <c r="N11" s="9">
        <v>93.8</v>
      </c>
      <c r="O11" s="9">
        <v>92.9</v>
      </c>
      <c r="P11" s="9">
        <v>92.9</v>
      </c>
      <c r="Q11" s="9">
        <v>93.7</v>
      </c>
      <c r="R11" s="9">
        <v>91.9</v>
      </c>
      <c r="S11" s="9">
        <v>92.8</v>
      </c>
      <c r="T11" s="9">
        <v>91</v>
      </c>
      <c r="U11" s="9">
        <v>88.9</v>
      </c>
      <c r="V11" s="9">
        <v>89.9</v>
      </c>
      <c r="W11" s="9">
        <v>89.1</v>
      </c>
      <c r="X11" s="9">
        <v>89.2</v>
      </c>
      <c r="Y11" s="9">
        <v>89.2</v>
      </c>
      <c r="Z11" s="9">
        <v>89</v>
      </c>
      <c r="AA11" s="9">
        <v>90.2</v>
      </c>
      <c r="AB11" s="9"/>
      <c r="AC11" s="9"/>
      <c r="AD11" s="9"/>
      <c r="AE11" s="9">
        <f>'2026 tavasz'!C11</f>
        <v>92.3</v>
      </c>
      <c r="AF11" s="9">
        <f>'2026 tavasz'!D11</f>
        <v>92.2</v>
      </c>
      <c r="AG11" s="9">
        <f>'2026 tavasz'!E11</f>
        <v>91.8</v>
      </c>
      <c r="AH11" s="9">
        <f>'2026 tavasz'!F11</f>
        <v>92.9</v>
      </c>
      <c r="AI11" s="9">
        <f>'2026 tavasz'!G11</f>
        <v>93.3</v>
      </c>
      <c r="AJ11" s="9">
        <f>'2026 tavasz'!H11</f>
        <v>91.9</v>
      </c>
      <c r="AK11" s="9">
        <f>'2026 tavasz'!I11</f>
        <v>92.5</v>
      </c>
      <c r="AL11" s="9">
        <f>'2026 tavasz'!J11</f>
        <v>92.5</v>
      </c>
      <c r="AM11" s="9">
        <f>'2026 tavasz'!K11</f>
        <v>92</v>
      </c>
      <c r="AN11" s="9">
        <f>'2026 tavasz'!L11</f>
        <v>0</v>
      </c>
      <c r="AO11" s="9">
        <f>'2026 tavasz'!M11</f>
        <v>0</v>
      </c>
      <c r="AP11" s="9">
        <f>'2026 tavasz'!N11</f>
        <v>0</v>
      </c>
      <c r="AQ11" s="9">
        <f>'2026 tavasz'!O11</f>
        <v>0</v>
      </c>
      <c r="AR11" s="9">
        <f>'2026 tavasz'!P11</f>
        <v>0</v>
      </c>
      <c r="AS11" s="9">
        <f>'2026 tavasz'!Q11</f>
        <v>0</v>
      </c>
      <c r="AT11" s="9">
        <f>'2026 tavasz'!R11</f>
        <v>0</v>
      </c>
    </row>
    <row r="12" spans="2:46" x14ac:dyDescent="0.2">
      <c r="B12" s="1" t="s">
        <v>32</v>
      </c>
      <c r="C12" s="9">
        <v>106</v>
      </c>
      <c r="D12" s="9">
        <v>105.9</v>
      </c>
      <c r="E12" s="9">
        <v>105.7</v>
      </c>
      <c r="F12" s="9">
        <v>104.8</v>
      </c>
      <c r="G12" s="9">
        <v>103.2</v>
      </c>
      <c r="H12" s="9">
        <v>103.2</v>
      </c>
      <c r="I12" s="9">
        <v>103.3</v>
      </c>
      <c r="J12" s="9">
        <v>102.9</v>
      </c>
      <c r="K12" s="9">
        <v>102</v>
      </c>
      <c r="L12" s="9">
        <v>102.6</v>
      </c>
      <c r="M12" s="9">
        <v>103.2</v>
      </c>
      <c r="N12" s="9">
        <v>102.8</v>
      </c>
      <c r="O12" s="9">
        <v>102.3</v>
      </c>
      <c r="P12" s="9">
        <v>103</v>
      </c>
      <c r="Q12" s="9">
        <v>103.1</v>
      </c>
      <c r="R12" s="9">
        <v>103.3</v>
      </c>
      <c r="S12" s="9">
        <v>102</v>
      </c>
      <c r="T12" s="9">
        <v>103.3</v>
      </c>
      <c r="U12" s="9">
        <v>103.8</v>
      </c>
      <c r="V12" s="9">
        <v>103.5</v>
      </c>
      <c r="W12" s="9">
        <v>103.5</v>
      </c>
      <c r="X12" s="9">
        <v>103.5</v>
      </c>
      <c r="Y12" s="9">
        <v>103.6</v>
      </c>
      <c r="Z12" s="9">
        <v>103.8</v>
      </c>
      <c r="AA12" s="9">
        <v>103.6</v>
      </c>
      <c r="AB12" s="9"/>
      <c r="AC12" s="9"/>
      <c r="AD12" s="9"/>
      <c r="AE12" s="9">
        <f>'2026 tavasz'!C12</f>
        <v>108.4</v>
      </c>
      <c r="AF12" s="9">
        <f>'2026 tavasz'!D12</f>
        <v>107</v>
      </c>
      <c r="AG12" s="9">
        <f>'2026 tavasz'!E12</f>
        <v>107.4</v>
      </c>
      <c r="AH12" s="9">
        <f>'2026 tavasz'!F12</f>
        <v>106.5</v>
      </c>
      <c r="AI12" s="9">
        <f>'2026 tavasz'!G12</f>
        <v>104</v>
      </c>
      <c r="AJ12" s="9">
        <f>'2026 tavasz'!H12</f>
        <v>102.9</v>
      </c>
      <c r="AK12" s="9">
        <f>'2026 tavasz'!I12</f>
        <v>103</v>
      </c>
      <c r="AL12" s="9">
        <f>'2026 tavasz'!J12</f>
        <v>101.9</v>
      </c>
      <c r="AM12" s="9">
        <f>'2026 tavasz'!K12</f>
        <v>102.3</v>
      </c>
      <c r="AN12" s="9">
        <f>'2026 tavasz'!L12</f>
        <v>0</v>
      </c>
      <c r="AO12" s="9">
        <f>'2026 tavasz'!M12</f>
        <v>0</v>
      </c>
      <c r="AP12" s="9">
        <f>'2026 tavasz'!N12</f>
        <v>0</v>
      </c>
      <c r="AQ12" s="9">
        <f>'2026 tavasz'!O12</f>
        <v>0</v>
      </c>
      <c r="AR12" s="9">
        <f>'2026 tavasz'!P12</f>
        <v>0</v>
      </c>
      <c r="AS12" s="9">
        <f>'2026 tavasz'!Q12</f>
        <v>0</v>
      </c>
      <c r="AT12" s="9">
        <f>'2026 tavasz'!R12</f>
        <v>0</v>
      </c>
    </row>
    <row r="13" spans="2:46" x14ac:dyDescent="0.2">
      <c r="B13" s="1" t="s">
        <v>33</v>
      </c>
      <c r="C13" s="9">
        <v>100</v>
      </c>
      <c r="D13" s="9">
        <v>100</v>
      </c>
      <c r="E13" s="9">
        <v>100</v>
      </c>
      <c r="F13" s="9">
        <v>100</v>
      </c>
      <c r="G13" s="9">
        <v>100</v>
      </c>
      <c r="H13" s="9">
        <v>100</v>
      </c>
      <c r="I13" s="9">
        <v>100</v>
      </c>
      <c r="J13" s="9">
        <v>100</v>
      </c>
      <c r="K13" s="9">
        <v>100</v>
      </c>
      <c r="L13" s="9">
        <v>100</v>
      </c>
      <c r="M13" s="9">
        <v>100</v>
      </c>
      <c r="N13" s="9">
        <v>100</v>
      </c>
      <c r="O13" s="9">
        <v>100</v>
      </c>
      <c r="P13" s="9">
        <v>100</v>
      </c>
      <c r="Q13" s="9">
        <v>100</v>
      </c>
      <c r="R13" s="9">
        <v>100</v>
      </c>
      <c r="S13" s="9">
        <v>100</v>
      </c>
      <c r="T13" s="9">
        <v>100</v>
      </c>
      <c r="U13" s="9">
        <v>100.5</v>
      </c>
      <c r="V13" s="9">
        <v>98.7</v>
      </c>
      <c r="W13" s="9">
        <v>98.8</v>
      </c>
      <c r="X13" s="9">
        <v>99.5</v>
      </c>
      <c r="Y13" s="9">
        <v>102</v>
      </c>
      <c r="Z13" s="9">
        <v>102</v>
      </c>
      <c r="AA13" s="9">
        <v>100.8</v>
      </c>
      <c r="AB13" s="9"/>
      <c r="AC13" s="9"/>
      <c r="AD13" s="9"/>
      <c r="AE13" s="9">
        <f>'2026 tavasz'!C13</f>
        <v>102.1</v>
      </c>
      <c r="AF13" s="9">
        <f>'2026 tavasz'!D13</f>
        <v>102.2</v>
      </c>
      <c r="AG13" s="9">
        <f>'2026 tavasz'!E13</f>
        <v>102.8</v>
      </c>
      <c r="AH13" s="9">
        <f>'2026 tavasz'!F13</f>
        <v>101.7</v>
      </c>
      <c r="AI13" s="9">
        <f>'2026 tavasz'!G13</f>
        <v>101</v>
      </c>
      <c r="AJ13" s="9">
        <f>'2026 tavasz'!H13</f>
        <v>100.3</v>
      </c>
      <c r="AK13" s="9">
        <f>'2026 tavasz'!I13</f>
        <v>99.9</v>
      </c>
      <c r="AL13" s="9">
        <f>'2026 tavasz'!J13</f>
        <v>99.4</v>
      </c>
      <c r="AM13" s="9">
        <f>'2026 tavasz'!K13</f>
        <v>99.2</v>
      </c>
      <c r="AN13" s="9">
        <f>'2026 tavasz'!L13</f>
        <v>0</v>
      </c>
      <c r="AO13" s="9">
        <f>'2026 tavasz'!M13</f>
        <v>0</v>
      </c>
      <c r="AP13" s="9">
        <f>'2026 tavasz'!N13</f>
        <v>0</v>
      </c>
      <c r="AQ13" s="9">
        <f>'2026 tavasz'!O13</f>
        <v>0</v>
      </c>
      <c r="AR13" s="9">
        <f>'2026 tavasz'!P13</f>
        <v>0</v>
      </c>
      <c r="AS13" s="9">
        <f>'2026 tavasz'!Q13</f>
        <v>0</v>
      </c>
      <c r="AT13" s="9">
        <f>'2026 tavasz'!R13</f>
        <v>0</v>
      </c>
    </row>
    <row r="14" spans="2:46" x14ac:dyDescent="0.2">
      <c r="J14" s="9"/>
      <c r="K14" s="9"/>
      <c r="L14" s="9"/>
      <c r="M14" s="9"/>
      <c r="N14" s="9"/>
      <c r="O14" s="9"/>
      <c r="P14" s="9"/>
      <c r="Q14" s="9"/>
      <c r="R14" s="9"/>
    </row>
    <row r="15" spans="2:46" x14ac:dyDescent="0.2">
      <c r="J15" s="9"/>
      <c r="K15" s="9"/>
      <c r="L15" s="9"/>
      <c r="M15" s="9"/>
      <c r="N15" s="9"/>
      <c r="O15" s="9"/>
      <c r="P15" s="9"/>
      <c r="Q15" s="9"/>
      <c r="R15" s="9"/>
    </row>
    <row r="16" spans="2:46" x14ac:dyDescent="0.2"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21" spans="3:6" x14ac:dyDescent="0.2">
      <c r="C21" s="25"/>
      <c r="F21" s="25"/>
    </row>
    <row r="22" spans="3:6" x14ac:dyDescent="0.2">
      <c r="F22" s="25"/>
    </row>
    <row r="23" spans="3:6" x14ac:dyDescent="0.2">
      <c r="F23" s="25"/>
    </row>
    <row r="24" spans="3:6" x14ac:dyDescent="0.2">
      <c r="F24" s="25"/>
    </row>
    <row r="25" spans="3:6" x14ac:dyDescent="0.2">
      <c r="F25" s="25"/>
    </row>
    <row r="26" spans="3:6" x14ac:dyDescent="0.2">
      <c r="F26" s="25"/>
    </row>
    <row r="27" spans="3:6" x14ac:dyDescent="0.2">
      <c r="F27" s="25"/>
    </row>
    <row r="28" spans="3:6" x14ac:dyDescent="0.2">
      <c r="F28" s="25"/>
    </row>
    <row r="32" spans="3:6" x14ac:dyDescent="0.2">
      <c r="F32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4:AU93"/>
  <sheetViews>
    <sheetView workbookViewId="0"/>
  </sheetViews>
  <sheetFormatPr defaultColWidth="12.5703125" defaultRowHeight="15.75" customHeight="1" x14ac:dyDescent="0.2"/>
  <cols>
    <col min="4" max="4" width="14" customWidth="1"/>
    <col min="5" max="5" width="14.28515625" customWidth="1"/>
    <col min="6" max="6" width="15.5703125" customWidth="1"/>
    <col min="8" max="8" width="16.140625" customWidth="1"/>
  </cols>
  <sheetData>
    <row r="4" spans="2:47" ht="12.75" x14ac:dyDescent="0.2">
      <c r="C4" s="12" t="str">
        <f>'Éves adatsor'!C4</f>
        <v>7. hét</v>
      </c>
      <c r="D4" s="12" t="str">
        <f>'Éves adatsor'!D4</f>
        <v>8. hét</v>
      </c>
      <c r="E4" s="12" t="str">
        <f>'Éves adatsor'!E4</f>
        <v>9. hét</v>
      </c>
      <c r="F4" s="12" t="str">
        <f>'Éves adatsor'!F4</f>
        <v>10. hét</v>
      </c>
      <c r="G4" s="12" t="str">
        <f>'Éves adatsor'!G4</f>
        <v>11. hét</v>
      </c>
      <c r="H4" s="12" t="str">
        <f>'Éves adatsor'!H4</f>
        <v>12. hét</v>
      </c>
      <c r="I4" s="12" t="str">
        <f>'Éves adatsor'!I4</f>
        <v>13. hét</v>
      </c>
      <c r="J4" s="12" t="str">
        <f>'Éves adatsor'!J4</f>
        <v>14. hét</v>
      </c>
      <c r="K4" s="12" t="str">
        <f>'Éves adatsor'!K4</f>
        <v>15. hét</v>
      </c>
      <c r="L4" s="12" t="str">
        <f>'Éves adatsor'!L4</f>
        <v>16. hét</v>
      </c>
      <c r="M4" s="12" t="str">
        <f>'Éves adatsor'!M4</f>
        <v>17. hét</v>
      </c>
      <c r="N4" s="12" t="str">
        <f>'Éves adatsor'!N4</f>
        <v>18. hét</v>
      </c>
      <c r="O4" s="12" t="str">
        <f>'Éves adatsor'!O4</f>
        <v>19. hét</v>
      </c>
      <c r="P4" s="12" t="str">
        <f>'Éves adatsor'!P4</f>
        <v>20. hét</v>
      </c>
      <c r="Q4" s="12" t="str">
        <f>'Éves adatsor'!Q4</f>
        <v>21. hét</v>
      </c>
      <c r="R4" s="12" t="str">
        <f>'Éves adatsor'!R4</f>
        <v>22. hét</v>
      </c>
      <c r="S4" s="12" t="str">
        <f>'Éves adatsor'!S4</f>
        <v>23. hét</v>
      </c>
      <c r="T4" s="12" t="str">
        <f>'Éves adatsor'!T4</f>
        <v>24. hét</v>
      </c>
      <c r="U4" s="12" t="str">
        <f>'Éves adatsor'!U4</f>
        <v>25 .hét</v>
      </c>
      <c r="V4" s="12" t="str">
        <f>'Éves adatsor'!V4</f>
        <v>26. hét</v>
      </c>
      <c r="W4" s="12" t="str">
        <f>'Éves adatsor'!W4</f>
        <v>27. hét</v>
      </c>
      <c r="X4" s="12" t="str">
        <f>'Éves adatsor'!X4</f>
        <v>28. hét</v>
      </c>
      <c r="Y4" s="12" t="str">
        <f>'Éves adatsor'!Y4</f>
        <v>29. hét</v>
      </c>
      <c r="Z4" s="12" t="str">
        <f>'Éves adatsor'!Z4</f>
        <v>30. hét</v>
      </c>
      <c r="AA4" s="7" t="s">
        <v>78</v>
      </c>
      <c r="AB4" s="7" t="s">
        <v>79</v>
      </c>
      <c r="AC4" s="7" t="s">
        <v>80</v>
      </c>
      <c r="AD4" s="7" t="s">
        <v>81</v>
      </c>
      <c r="AE4" s="7" t="s">
        <v>82</v>
      </c>
      <c r="AF4" s="7" t="s">
        <v>83</v>
      </c>
      <c r="AG4" s="7" t="s">
        <v>84</v>
      </c>
      <c r="AH4" s="7" t="s">
        <v>85</v>
      </c>
      <c r="AI4" s="7" t="s">
        <v>86</v>
      </c>
      <c r="AJ4" s="7" t="s">
        <v>87</v>
      </c>
      <c r="AK4" s="7" t="s">
        <v>88</v>
      </c>
      <c r="AL4" s="7" t="s">
        <v>89</v>
      </c>
      <c r="AM4" s="7" t="s">
        <v>90</v>
      </c>
      <c r="AN4" s="7" t="s">
        <v>91</v>
      </c>
      <c r="AO4" s="7" t="s">
        <v>92</v>
      </c>
      <c r="AP4" s="7" t="s">
        <v>93</v>
      </c>
      <c r="AQ4" s="7" t="s">
        <v>94</v>
      </c>
      <c r="AR4" s="7" t="s">
        <v>95</v>
      </c>
      <c r="AS4" s="7" t="s">
        <v>96</v>
      </c>
      <c r="AT4" s="7" t="s">
        <v>97</v>
      </c>
      <c r="AU4" s="7" t="s">
        <v>98</v>
      </c>
    </row>
    <row r="5" spans="2:47" ht="12.75" x14ac:dyDescent="0.2">
      <c r="B5" s="12" t="str">
        <f>'Éves adatsor'!B5</f>
        <v>Barcsik Kristóf</v>
      </c>
      <c r="C5" s="69" t="s">
        <v>99</v>
      </c>
      <c r="D5" s="14" t="str">
        <f>LEFT('Éves adatsor'!D5, LEN('Éves adatsor'!D5) - 3)</f>
        <v/>
      </c>
      <c r="E5" s="14" t="str">
        <f>LEFT('Éves adatsor'!E5, LEN('Éves adatsor'!E5) - 3)</f>
        <v>11</v>
      </c>
      <c r="F5" s="14" t="str">
        <f>LEFT('Éves adatsor'!F5, LEN('Éves adatsor'!F5) - 3)</f>
        <v>11</v>
      </c>
      <c r="G5" s="14" t="str">
        <f>LEFT('Éves adatsor'!G5, LEN('Éves adatsor'!G5) - 3)</f>
        <v>11</v>
      </c>
      <c r="H5" s="14" t="str">
        <f>LEFT('Éves adatsor'!H5, LEN('Éves adatsor'!H5) - 3)</f>
        <v/>
      </c>
      <c r="I5" s="14" t="str">
        <f>LEFT('Éves adatsor'!I5, LEN('Éves adatsor'!I5) - 3)</f>
        <v>11</v>
      </c>
      <c r="J5" s="14" t="str">
        <f>LEFT('Éves adatsor'!J5, LEN('Éves adatsor'!J5) - 3)</f>
        <v>11</v>
      </c>
      <c r="K5" s="14" t="str">
        <f>LEFT('Éves adatsor'!K5, LEN('Éves adatsor'!K5) - 3)</f>
        <v>11</v>
      </c>
      <c r="L5" s="14" t="str">
        <f>LEFT('Éves adatsor'!L5, LEN('Éves adatsor'!L5) - 3)</f>
        <v>11</v>
      </c>
      <c r="M5" s="14" t="str">
        <f>LEFT('Éves adatsor'!M5, LEN('Éves adatsor'!M5) - 3)</f>
        <v/>
      </c>
      <c r="N5" s="14" t="str">
        <f>LEFT('Éves adatsor'!N5, LEN('Éves adatsor'!N5) - 3)</f>
        <v>11</v>
      </c>
      <c r="O5" s="14" t="str">
        <f>LEFT('Éves adatsor'!O5, LEN('Éves adatsor'!O5) - 3)</f>
        <v>11</v>
      </c>
      <c r="P5" s="14" t="str">
        <f>LEFT('Éves adatsor'!P5, LEN('Éves adatsor'!P5) - 3)</f>
        <v>11</v>
      </c>
      <c r="Q5" s="14" t="str">
        <f>LEFT('Éves adatsor'!Q5, LEN('Éves adatsor'!Q5) - 3)</f>
        <v>11</v>
      </c>
      <c r="R5" s="14" t="str">
        <f>LEFT('Éves adatsor'!R5, LEN('Éves adatsor'!R5) - 3)</f>
        <v>11</v>
      </c>
      <c r="S5" s="14" t="str">
        <f>LEFT('Éves adatsor'!S5, LEN('Éves adatsor'!S5) - 3)</f>
        <v>11</v>
      </c>
      <c r="T5" s="14" t="str">
        <f>LEFT('Éves adatsor'!T5, LEN('Éves adatsor'!T5) - 3)</f>
        <v>11</v>
      </c>
      <c r="U5" s="14" t="str">
        <f>LEFT('Éves adatsor'!U5, LEN('Éves adatsor'!U5) - 3)</f>
        <v>11</v>
      </c>
      <c r="V5" s="14" t="str">
        <f>LEFT('Éves adatsor'!V5, LEN('Éves adatsor'!V5) - 3)</f>
        <v>11</v>
      </c>
      <c r="W5" s="14" t="str">
        <f>LEFT('Éves adatsor'!W5, LEN('Éves adatsor'!W5) - 3)</f>
        <v>11</v>
      </c>
      <c r="X5" s="14" t="str">
        <f>LEFT('Éves adatsor'!X5, LEN('Éves adatsor'!X5) - 3)</f>
        <v>11</v>
      </c>
      <c r="Y5" s="14" t="str">
        <f>LEFT('Éves adatsor'!Y5, LEN('Éves adatsor'!Y5) - 3)</f>
        <v>11</v>
      </c>
      <c r="Z5" s="14" t="str">
        <f>LEFT('Éves adatsor'!Z5, LEN('Éves adatsor'!Z5) - 3)</f>
        <v>11</v>
      </c>
      <c r="AA5" s="14" t="str">
        <f>LEFT('Éves adatsor'!AA5, LEN('Éves adatsor'!AA5) - 3)</f>
        <v>11</v>
      </c>
      <c r="AB5" s="14"/>
      <c r="AC5" s="14"/>
      <c r="AD5" s="14"/>
      <c r="AE5" s="14" t="str">
        <f>LEFT('Éves adatsor'!AE5, LEN('Éves adatsor'!AE5) - 3)</f>
        <v>11</v>
      </c>
      <c r="AF5" s="14" t="str">
        <f>LEFT('Éves adatsor'!AF5, LEN('Éves adatsor'!AF5) - 3)</f>
        <v>11</v>
      </c>
      <c r="AG5" s="14" t="str">
        <f>LEFT('Éves adatsor'!AG5, LEN('Éves adatsor'!AG5) - 3)</f>
        <v>11</v>
      </c>
      <c r="AH5" s="14" t="str">
        <f>LEFT('Éves adatsor'!AH5, LEN('Éves adatsor'!AH5) - 3)</f>
        <v>11</v>
      </c>
      <c r="AI5" s="14" t="str">
        <f>LEFT('Éves adatsor'!AI5, LEN('Éves adatsor'!AI5) - 3)</f>
        <v>11</v>
      </c>
      <c r="AJ5" s="14" t="str">
        <f>LEFT('Éves adatsor'!AJ5, LEN('Éves adatsor'!AJ5) - 3)</f>
        <v/>
      </c>
      <c r="AK5" s="14" t="str">
        <f>LEFT('Éves adatsor'!AK5, LEN('Éves adatsor'!AK5) - 3)</f>
        <v>11</v>
      </c>
      <c r="AL5" s="14" t="str">
        <f>LEFT('Éves adatsor'!AL5, LEN('Éves adatsor'!AL5) - 3)</f>
        <v>11</v>
      </c>
      <c r="AM5" s="14" t="str">
        <f>LEFT('Éves adatsor'!AM5, LEN('Éves adatsor'!AM5) - 3)</f>
        <v/>
      </c>
      <c r="AN5" s="14" t="e">
        <f>LEFT('Éves adatsor'!AN5, LEN('Éves adatsor'!AN5) - 3)</f>
        <v>#VALUE!</v>
      </c>
      <c r="AO5" s="14" t="e">
        <f>LEFT('Éves adatsor'!AO5, LEN('Éves adatsor'!AO5) - 3)</f>
        <v>#VALUE!</v>
      </c>
      <c r="AP5" s="14" t="e">
        <f>LEFT('Éves adatsor'!AP5, LEN('Éves adatsor'!AP5) - 3)</f>
        <v>#VALUE!</v>
      </c>
      <c r="AQ5" s="14" t="e">
        <f>LEFT('Éves adatsor'!AQ5, LEN('Éves adatsor'!AQ5) - 3)</f>
        <v>#VALUE!</v>
      </c>
      <c r="AR5" s="14" t="e">
        <f>LEFT('Éves adatsor'!AR5, LEN('Éves adatsor'!AR5) - 3)</f>
        <v>#VALUE!</v>
      </c>
      <c r="AS5" s="14" t="e">
        <f>LEFT('Éves adatsor'!AS5, LEN('Éves adatsor'!AS5) - 3)</f>
        <v>#VALUE!</v>
      </c>
      <c r="AT5" s="14" t="e">
        <f>LEFT('Éves adatsor'!AT5, LEN('Éves adatsor'!AT5) - 3)</f>
        <v>#VALUE!</v>
      </c>
      <c r="AU5" s="14" t="e">
        <f t="shared" ref="AU5:AU13" si="0">AT5-C5</f>
        <v>#VALUE!</v>
      </c>
    </row>
    <row r="6" spans="2:47" ht="12.75" x14ac:dyDescent="0.2">
      <c r="B6" s="12" t="str">
        <f>'Éves adatsor'!B6</f>
        <v>Galgóczy Ádám</v>
      </c>
      <c r="C6" s="14" t="str">
        <f>LEFT('Éves adatsor'!C6, LEN('Éves adatsor'!C6) - 3)</f>
        <v>10</v>
      </c>
      <c r="D6" s="14" t="str">
        <f>LEFT('Éves adatsor'!D6, LEN('Éves adatsor'!D6) - 3)</f>
        <v>10</v>
      </c>
      <c r="E6" s="14" t="str">
        <f>LEFT('Éves adatsor'!E6, LEN('Éves adatsor'!E6) - 3)</f>
        <v>10</v>
      </c>
      <c r="F6" s="14" t="str">
        <f>LEFT('Éves adatsor'!F6, LEN('Éves adatsor'!F6) - 3)</f>
        <v/>
      </c>
      <c r="G6" s="14" t="str">
        <f>LEFT('Éves adatsor'!G6, LEN('Éves adatsor'!G6) - 3)</f>
        <v/>
      </c>
      <c r="H6" s="14" t="str">
        <f>LEFT('Éves adatsor'!H6, LEN('Éves adatsor'!H6) - 3)</f>
        <v>10</v>
      </c>
      <c r="I6" s="14" t="str">
        <f>LEFT('Éves adatsor'!I6, LEN('Éves adatsor'!I6) - 3)</f>
        <v>10</v>
      </c>
      <c r="J6" s="14" t="str">
        <f>LEFT('Éves adatsor'!J6, LEN('Éves adatsor'!J6) - 3)</f>
        <v>10</v>
      </c>
      <c r="K6" s="14" t="str">
        <f>LEFT('Éves adatsor'!K6, LEN('Éves adatsor'!K6) - 3)</f>
        <v>10</v>
      </c>
      <c r="L6" s="14" t="str">
        <f>LEFT('Éves adatsor'!L6, LEN('Éves adatsor'!L6) - 3)</f>
        <v>10</v>
      </c>
      <c r="M6" s="14" t="str">
        <f>LEFT('Éves adatsor'!M6, LEN('Éves adatsor'!M6) - 3)</f>
        <v>10</v>
      </c>
      <c r="N6" s="14" t="str">
        <f>LEFT('Éves adatsor'!N6, LEN('Éves adatsor'!N6) - 3)</f>
        <v>10</v>
      </c>
      <c r="O6" s="14" t="str">
        <f>LEFT('Éves adatsor'!O6, LEN('Éves adatsor'!O6) - 3)</f>
        <v>10</v>
      </c>
      <c r="P6" s="14" t="str">
        <f>LEFT('Éves adatsor'!P6, LEN('Éves adatsor'!P6) - 3)</f>
        <v>10</v>
      </c>
      <c r="Q6" s="14" t="str">
        <f>LEFT('Éves adatsor'!Q6, LEN('Éves adatsor'!Q6) - 3)</f>
        <v/>
      </c>
      <c r="R6" s="14" t="str">
        <f>LEFT('Éves adatsor'!R6, LEN('Éves adatsor'!R6) - 3)</f>
        <v>10</v>
      </c>
      <c r="S6" s="14" t="str">
        <f>LEFT('Éves adatsor'!S6, LEN('Éves adatsor'!S6) - 3)</f>
        <v>9</v>
      </c>
      <c r="T6" s="14" t="str">
        <f>LEFT('Éves adatsor'!T6, LEN('Éves adatsor'!T6) - 3)</f>
        <v>10</v>
      </c>
      <c r="U6" s="14" t="str">
        <f>LEFT('Éves adatsor'!U6, LEN('Éves adatsor'!U6) - 3)</f>
        <v/>
      </c>
      <c r="V6" s="14" t="str">
        <f>LEFT('Éves adatsor'!V6, LEN('Éves adatsor'!V6) - 3)</f>
        <v>10</v>
      </c>
      <c r="W6" s="14" t="str">
        <f>LEFT('Éves adatsor'!W6, LEN('Éves adatsor'!W6) - 3)</f>
        <v>10</v>
      </c>
      <c r="X6" s="14" t="str">
        <f>LEFT('Éves adatsor'!X6, LEN('Éves adatsor'!X6) - 3)</f>
        <v>10</v>
      </c>
      <c r="Y6" s="14" t="str">
        <f>LEFT('Éves adatsor'!Y6, LEN('Éves adatsor'!Y6) - 3)</f>
        <v>10</v>
      </c>
      <c r="Z6" s="14" t="str">
        <f>LEFT('Éves adatsor'!Z6, LEN('Éves adatsor'!Z6) - 3)</f>
        <v>10</v>
      </c>
      <c r="AA6" s="14" t="str">
        <f>LEFT('Éves adatsor'!AA6, LEN('Éves adatsor'!AA6) - 3)</f>
        <v>10</v>
      </c>
      <c r="AB6" s="14"/>
      <c r="AC6" s="14"/>
      <c r="AD6" s="14"/>
      <c r="AE6" s="14" t="str">
        <f>LEFT('Éves adatsor'!AE6, LEN('Éves adatsor'!AE6) - 3)</f>
        <v>10</v>
      </c>
      <c r="AF6" s="14" t="str">
        <f>LEFT('Éves adatsor'!AF6, LEN('Éves adatsor'!AF6) - 3)</f>
        <v>10</v>
      </c>
      <c r="AG6" s="14" t="str">
        <f>LEFT('Éves adatsor'!AG6, LEN('Éves adatsor'!AG6) - 3)</f>
        <v>10</v>
      </c>
      <c r="AH6" s="14" t="str">
        <f>LEFT('Éves adatsor'!AH6, LEN('Éves adatsor'!AH6) - 3)</f>
        <v>10</v>
      </c>
      <c r="AI6" s="14" t="str">
        <f>LEFT('Éves adatsor'!AI6, LEN('Éves adatsor'!AI6) - 3)</f>
        <v/>
      </c>
      <c r="AJ6" s="14" t="str">
        <f>LEFT('Éves adatsor'!AJ6, LEN('Éves adatsor'!AJ6) - 3)</f>
        <v/>
      </c>
      <c r="AK6" s="14" t="str">
        <f>LEFT('Éves adatsor'!AK6, LEN('Éves adatsor'!AK6) - 3)</f>
        <v>10</v>
      </c>
      <c r="AL6" s="14" t="str">
        <f>LEFT('Éves adatsor'!AL6, LEN('Éves adatsor'!AL6) - 3)</f>
        <v>10</v>
      </c>
      <c r="AM6" s="14" t="str">
        <f>LEFT('Éves adatsor'!AM6, LEN('Éves adatsor'!AM6) - 3)</f>
        <v>10</v>
      </c>
      <c r="AN6" s="14" t="e">
        <f>LEFT('Éves adatsor'!AN6, LEN('Éves adatsor'!AN6) - 3)</f>
        <v>#VALUE!</v>
      </c>
      <c r="AO6" s="14" t="e">
        <f>LEFT('Éves adatsor'!AO6, LEN('Éves adatsor'!AO6) - 3)</f>
        <v>#VALUE!</v>
      </c>
      <c r="AP6" s="14" t="e">
        <f>LEFT('Éves adatsor'!AP6, LEN('Éves adatsor'!AP6) - 3)</f>
        <v>#VALUE!</v>
      </c>
      <c r="AQ6" s="14" t="e">
        <f>LEFT('Éves adatsor'!AQ6, LEN('Éves adatsor'!AQ6) - 3)</f>
        <v>#VALUE!</v>
      </c>
      <c r="AR6" s="14" t="e">
        <f>LEFT('Éves adatsor'!AR6, LEN('Éves adatsor'!AR6) - 3)</f>
        <v>#VALUE!</v>
      </c>
      <c r="AS6" s="14" t="e">
        <f>LEFT('Éves adatsor'!AS6, LEN('Éves adatsor'!AS6) - 3)</f>
        <v>#VALUE!</v>
      </c>
      <c r="AT6" s="14" t="e">
        <f>LEFT('Éves adatsor'!AT6, LEN('Éves adatsor'!AT6) - 3)</f>
        <v>#VALUE!</v>
      </c>
      <c r="AU6" s="14" t="e">
        <f t="shared" si="0"/>
        <v>#VALUE!</v>
      </c>
    </row>
    <row r="7" spans="2:47" ht="12.75" x14ac:dyDescent="0.2">
      <c r="B7" s="12" t="str">
        <f>'Éves adatsor'!B7</f>
        <v>Jávor Tamás</v>
      </c>
      <c r="C7" s="14" t="str">
        <f>LEFT('Éves adatsor'!C7, LEN('Éves adatsor'!C7) - 3)</f>
        <v>11</v>
      </c>
      <c r="D7" s="14" t="str">
        <f>LEFT('Éves adatsor'!D7, LEN('Éves adatsor'!D7) - 3)</f>
        <v>11</v>
      </c>
      <c r="E7" s="14" t="str">
        <f>LEFT('Éves adatsor'!E7, LEN('Éves adatsor'!E7) - 3)</f>
        <v>11</v>
      </c>
      <c r="F7" s="14" t="str">
        <f>LEFT('Éves adatsor'!F7, LEN('Éves adatsor'!F7) - 3)</f>
        <v/>
      </c>
      <c r="G7" s="14" t="str">
        <f>LEFT('Éves adatsor'!G7, LEN('Éves adatsor'!G7) - 3)</f>
        <v>11</v>
      </c>
      <c r="H7" s="14" t="str">
        <f>LEFT('Éves adatsor'!H7, LEN('Éves adatsor'!H7) - 3)</f>
        <v/>
      </c>
      <c r="I7" s="14" t="str">
        <f>LEFT('Éves adatsor'!I7, LEN('Éves adatsor'!I7) - 3)</f>
        <v>11</v>
      </c>
      <c r="J7" s="14" t="str">
        <f>LEFT('Éves adatsor'!J7, LEN('Éves adatsor'!J7) - 3)</f>
        <v>11</v>
      </c>
      <c r="K7" s="14" t="str">
        <f>LEFT('Éves adatsor'!K7, LEN('Éves adatsor'!K7) - 3)</f>
        <v>11</v>
      </c>
      <c r="L7" s="14" t="str">
        <f>LEFT('Éves adatsor'!L7, LEN('Éves adatsor'!L7) - 3)</f>
        <v>11</v>
      </c>
      <c r="M7" s="14" t="str">
        <f>LEFT('Éves adatsor'!M7, LEN('Éves adatsor'!M7) - 3)</f>
        <v>11</v>
      </c>
      <c r="N7" s="14" t="str">
        <f>LEFT('Éves adatsor'!N7, LEN('Éves adatsor'!N7) - 3)</f>
        <v>11</v>
      </c>
      <c r="O7" s="14" t="str">
        <f>LEFT('Éves adatsor'!O7, LEN('Éves adatsor'!O7) - 3)</f>
        <v>11</v>
      </c>
      <c r="P7" s="14" t="str">
        <f>LEFT('Éves adatsor'!P7, LEN('Éves adatsor'!P7) - 3)</f>
        <v>11</v>
      </c>
      <c r="Q7" s="14" t="str">
        <f>LEFT('Éves adatsor'!Q7, LEN('Éves adatsor'!Q7) - 3)</f>
        <v>11</v>
      </c>
      <c r="R7" s="14" t="str">
        <f>LEFT('Éves adatsor'!R7, LEN('Éves adatsor'!R7) - 3)</f>
        <v>11</v>
      </c>
      <c r="S7" s="14" t="str">
        <f>LEFT('Éves adatsor'!S7, LEN('Éves adatsor'!S7) - 3)</f>
        <v>11</v>
      </c>
      <c r="T7" s="14" t="str">
        <f>LEFT('Éves adatsor'!T7, LEN('Éves adatsor'!T7) - 3)</f>
        <v>11</v>
      </c>
      <c r="U7" s="14" t="str">
        <f>LEFT('Éves adatsor'!U7, LEN('Éves adatsor'!U7) - 3)</f>
        <v>11</v>
      </c>
      <c r="V7" s="14" t="str">
        <f>LEFT('Éves adatsor'!V7, LEN('Éves adatsor'!V7) - 3)</f>
        <v>11</v>
      </c>
      <c r="W7" s="14" t="str">
        <f>LEFT('Éves adatsor'!W7, LEN('Éves adatsor'!W7) - 3)</f>
        <v>11</v>
      </c>
      <c r="X7" s="14" t="str">
        <f>LEFT('Éves adatsor'!X7, LEN('Éves adatsor'!X7) - 3)</f>
        <v>11</v>
      </c>
      <c r="Y7" s="14" t="str">
        <f>LEFT('Éves adatsor'!Y7, LEN('Éves adatsor'!Y7) - 3)</f>
        <v>11</v>
      </c>
      <c r="Z7" s="14" t="str">
        <f>LEFT('Éves adatsor'!Z7, LEN('Éves adatsor'!Z7) - 3)</f>
        <v>11</v>
      </c>
      <c r="AA7" s="14" t="str">
        <f>LEFT('Éves adatsor'!AA7, LEN('Éves adatsor'!AA7) - 3)</f>
        <v>11</v>
      </c>
      <c r="AB7" s="14"/>
      <c r="AC7" s="14"/>
      <c r="AD7" s="14"/>
      <c r="AE7" s="14" t="str">
        <f>LEFT('Éves adatsor'!AE7, LEN('Éves adatsor'!AE7) - 3)</f>
        <v>11</v>
      </c>
      <c r="AF7" s="14" t="str">
        <f>LEFT('Éves adatsor'!AF7, LEN('Éves adatsor'!AF7) - 3)</f>
        <v/>
      </c>
      <c r="AG7" s="14" t="str">
        <f>LEFT('Éves adatsor'!AG7, LEN('Éves adatsor'!AG7) - 3)</f>
        <v/>
      </c>
      <c r="AH7" s="14" t="str">
        <f>LEFT('Éves adatsor'!AH7, LEN('Éves adatsor'!AH7) - 3)</f>
        <v>11</v>
      </c>
      <c r="AI7" s="14" t="str">
        <f>LEFT('Éves adatsor'!AI7, LEN('Éves adatsor'!AI7) - 3)</f>
        <v>11</v>
      </c>
      <c r="AJ7" s="14" t="str">
        <f>LEFT('Éves adatsor'!AJ7, LEN('Éves adatsor'!AJ7) - 3)</f>
        <v>11</v>
      </c>
      <c r="AK7" s="14" t="str">
        <f>LEFT('Éves adatsor'!AK7, LEN('Éves adatsor'!AK7) - 3)</f>
        <v>11</v>
      </c>
      <c r="AL7" s="14" t="str">
        <f>LEFT('Éves adatsor'!AL7, LEN('Éves adatsor'!AL7) - 3)</f>
        <v/>
      </c>
      <c r="AM7" s="14" t="str">
        <f>LEFT('Éves adatsor'!AM7, LEN('Éves adatsor'!AM7) - 3)</f>
        <v>11</v>
      </c>
      <c r="AN7" s="14" t="e">
        <f>LEFT('Éves adatsor'!AN7, LEN('Éves adatsor'!AN7) - 3)</f>
        <v>#VALUE!</v>
      </c>
      <c r="AO7" s="14" t="e">
        <f>LEFT('Éves adatsor'!AO7, LEN('Éves adatsor'!AO7) - 3)</f>
        <v>#VALUE!</v>
      </c>
      <c r="AP7" s="14" t="e">
        <f>LEFT('Éves adatsor'!AP7, LEN('Éves adatsor'!AP7) - 3)</f>
        <v>#VALUE!</v>
      </c>
      <c r="AQ7" s="14" t="e">
        <f>LEFT('Éves adatsor'!AQ7, LEN('Éves adatsor'!AQ7) - 3)</f>
        <v>#VALUE!</v>
      </c>
      <c r="AR7" s="14" t="e">
        <f>LEFT('Éves adatsor'!AR7, LEN('Éves adatsor'!AR7) - 3)</f>
        <v>#VALUE!</v>
      </c>
      <c r="AS7" s="14" t="e">
        <f>LEFT('Éves adatsor'!AS7, LEN('Éves adatsor'!AS7) - 3)</f>
        <v>#VALUE!</v>
      </c>
      <c r="AT7" s="14" t="e">
        <f>LEFT('Éves adatsor'!AT7, LEN('Éves adatsor'!AT7) - 3)</f>
        <v>#VALUE!</v>
      </c>
      <c r="AU7" s="14" t="e">
        <f t="shared" si="0"/>
        <v>#VALUE!</v>
      </c>
    </row>
    <row r="8" spans="2:47" ht="12.75" x14ac:dyDescent="0.2">
      <c r="B8" s="12" t="str">
        <f>'Éves adatsor'!B8</f>
        <v>Krekuska Gábor</v>
      </c>
      <c r="C8" s="14" t="e">
        <f>LEFT('Éves adatsor'!C8, LEN('Éves adatsor'!C8) - 3)</f>
        <v>#VALUE!</v>
      </c>
      <c r="D8" s="14" t="str">
        <f>LEFT('Éves adatsor'!D8, LEN('Éves adatsor'!D8) - 3)</f>
        <v>8</v>
      </c>
      <c r="E8" s="14" t="str">
        <f>LEFT('Éves adatsor'!E8, LEN('Éves adatsor'!E8) - 3)</f>
        <v>8</v>
      </c>
      <c r="F8" s="14" t="e">
        <f>LEFT('Éves adatsor'!F8, LEN('Éves adatsor'!F8) - 3)</f>
        <v>#VALUE!</v>
      </c>
      <c r="G8" s="14" t="str">
        <f>LEFT('Éves adatsor'!G8, LEN('Éves adatsor'!G8) - 3)</f>
        <v>8</v>
      </c>
      <c r="H8" s="14" t="str">
        <f>LEFT('Éves adatsor'!H8, LEN('Éves adatsor'!H8) - 3)</f>
        <v>8</v>
      </c>
      <c r="I8" s="14" t="str">
        <f>LEFT('Éves adatsor'!I8, LEN('Éves adatsor'!I8) - 3)</f>
        <v>8</v>
      </c>
      <c r="J8" s="14" t="str">
        <f>LEFT('Éves adatsor'!J8, LEN('Éves adatsor'!J8) - 3)</f>
        <v>8</v>
      </c>
      <c r="K8" s="14" t="str">
        <f>LEFT('Éves adatsor'!K8, LEN('Éves adatsor'!K8) - 3)</f>
        <v>8</v>
      </c>
      <c r="L8" s="14" t="str">
        <f>LEFT('Éves adatsor'!L8, LEN('Éves adatsor'!L8) - 3)</f>
        <v>8</v>
      </c>
      <c r="M8" s="14" t="str">
        <f>LEFT('Éves adatsor'!M8, LEN('Éves adatsor'!M8) - 3)</f>
        <v>8</v>
      </c>
      <c r="N8" s="14" t="str">
        <f>LEFT('Éves adatsor'!N8, LEN('Éves adatsor'!N8) - 3)</f>
        <v>8</v>
      </c>
      <c r="O8" s="14" t="str">
        <f>LEFT('Éves adatsor'!O8, LEN('Éves adatsor'!O8) - 3)</f>
        <v>8</v>
      </c>
      <c r="P8" s="14" t="e">
        <f>LEFT('Éves adatsor'!P8, LEN('Éves adatsor'!P8) - 3)</f>
        <v>#VALUE!</v>
      </c>
      <c r="Q8" s="14" t="str">
        <f>LEFT('Éves adatsor'!Q8, LEN('Éves adatsor'!Q8) - 3)</f>
        <v>8</v>
      </c>
      <c r="R8" s="14" t="str">
        <f>LEFT('Éves adatsor'!R8, LEN('Éves adatsor'!R8) - 3)</f>
        <v>8</v>
      </c>
      <c r="S8" s="14" t="str">
        <f>LEFT('Éves adatsor'!S8, LEN('Éves adatsor'!S8) - 3)</f>
        <v>8</v>
      </c>
      <c r="T8" s="14" t="e">
        <f>LEFT('Éves adatsor'!T8, LEN('Éves adatsor'!T8) - 3)</f>
        <v>#VALUE!</v>
      </c>
      <c r="U8" s="14" t="str">
        <f>LEFT('Éves adatsor'!U8, LEN('Éves adatsor'!U8) - 3)</f>
        <v>8</v>
      </c>
      <c r="V8" s="14" t="str">
        <f>LEFT('Éves adatsor'!V8, LEN('Éves adatsor'!V8) - 3)</f>
        <v>8</v>
      </c>
      <c r="W8" s="14" t="str">
        <f>LEFT('Éves adatsor'!W8, LEN('Éves adatsor'!W8) - 3)</f>
        <v>8</v>
      </c>
      <c r="X8" s="14" t="str">
        <f>LEFT('Éves adatsor'!X8, LEN('Éves adatsor'!X8) - 3)</f>
        <v>8</v>
      </c>
      <c r="Y8" s="14" t="str">
        <f>LEFT('Éves adatsor'!Y8, LEN('Éves adatsor'!Y8) - 3)</f>
        <v>8</v>
      </c>
      <c r="Z8" s="14" t="str">
        <f>LEFT('Éves adatsor'!Z8, LEN('Éves adatsor'!Z8) - 3)</f>
        <v>8</v>
      </c>
      <c r="AA8" s="14" t="str">
        <f>LEFT('Éves adatsor'!AA8, LEN('Éves adatsor'!AA8) - 3)</f>
        <v>8</v>
      </c>
      <c r="AB8" s="14"/>
      <c r="AC8" s="14"/>
      <c r="AD8" s="14"/>
      <c r="AE8" s="14" t="str">
        <f>LEFT('Éves adatsor'!AE8, LEN('Éves adatsor'!AE8) - 3)</f>
        <v>8</v>
      </c>
      <c r="AF8" s="14" t="e">
        <f>LEFT('Éves adatsor'!AF8, LEN('Éves adatsor'!AF8) - 3)</f>
        <v>#VALUE!</v>
      </c>
      <c r="AG8" s="14" t="e">
        <f>LEFT('Éves adatsor'!AG8, LEN('Éves adatsor'!AG8) - 3)</f>
        <v>#VALUE!</v>
      </c>
      <c r="AH8" s="14" t="str">
        <f>LEFT('Éves adatsor'!AH8, LEN('Éves adatsor'!AH8) - 3)</f>
        <v>8</v>
      </c>
      <c r="AI8" s="14" t="str">
        <f>LEFT('Éves adatsor'!AI8, LEN('Éves adatsor'!AI8) - 3)</f>
        <v>8</v>
      </c>
      <c r="AJ8" s="14" t="str">
        <f>LEFT('Éves adatsor'!AJ8, LEN('Éves adatsor'!AJ8) - 3)</f>
        <v>8</v>
      </c>
      <c r="AK8" s="14" t="e">
        <f>LEFT('Éves adatsor'!AK8, LEN('Éves adatsor'!AK8) - 3)</f>
        <v>#VALUE!</v>
      </c>
      <c r="AL8" s="14" t="str">
        <f>LEFT('Éves adatsor'!AL8, LEN('Éves adatsor'!AL8) - 3)</f>
        <v>8</v>
      </c>
      <c r="AM8" s="14" t="str">
        <f>LEFT('Éves adatsor'!AM8, LEN('Éves adatsor'!AM8) - 3)</f>
        <v>8</v>
      </c>
      <c r="AN8" s="14" t="e">
        <f>LEFT('Éves adatsor'!AN8, LEN('Éves adatsor'!AN8) - 3)</f>
        <v>#VALUE!</v>
      </c>
      <c r="AO8" s="14" t="e">
        <f>LEFT('Éves adatsor'!AO8, LEN('Éves adatsor'!AO8) - 3)</f>
        <v>#VALUE!</v>
      </c>
      <c r="AP8" s="14" t="e">
        <f>LEFT('Éves adatsor'!AP8, LEN('Éves adatsor'!AP8) - 3)</f>
        <v>#VALUE!</v>
      </c>
      <c r="AQ8" s="14" t="e">
        <f>LEFT('Éves adatsor'!AQ8, LEN('Éves adatsor'!AQ8) - 3)</f>
        <v>#VALUE!</v>
      </c>
      <c r="AR8" s="14" t="e">
        <f>LEFT('Éves adatsor'!AR8, LEN('Éves adatsor'!AR8) - 3)</f>
        <v>#VALUE!</v>
      </c>
      <c r="AS8" s="14" t="e">
        <f>LEFT('Éves adatsor'!AS8, LEN('Éves adatsor'!AS8) - 3)</f>
        <v>#VALUE!</v>
      </c>
      <c r="AT8" s="14" t="e">
        <f>LEFT('Éves adatsor'!AT8, LEN('Éves adatsor'!AT8) - 3)</f>
        <v>#VALUE!</v>
      </c>
      <c r="AU8" s="14" t="e">
        <f t="shared" si="0"/>
        <v>#VALUE!</v>
      </c>
    </row>
    <row r="9" spans="2:47" ht="12.75" x14ac:dyDescent="0.2">
      <c r="B9" s="12" t="str">
        <f>'Éves adatsor'!B9</f>
        <v>Molnár György</v>
      </c>
      <c r="C9" s="14" t="str">
        <f>LEFT('Éves adatsor'!C9, LEN('Éves adatsor'!C9) - 3)</f>
        <v>9</v>
      </c>
      <c r="D9" s="14" t="str">
        <f>LEFT('Éves adatsor'!D9, LEN('Éves adatsor'!D9) - 3)</f>
        <v>9</v>
      </c>
      <c r="E9" s="14" t="str">
        <f>LEFT('Éves adatsor'!E9, LEN('Éves adatsor'!E9) - 3)</f>
        <v>9</v>
      </c>
      <c r="F9" s="14" t="str">
        <f>LEFT('Éves adatsor'!F9, LEN('Éves adatsor'!F9) - 3)</f>
        <v>9</v>
      </c>
      <c r="G9" s="14" t="str">
        <f>LEFT('Éves adatsor'!G9, LEN('Éves adatsor'!G9) - 3)</f>
        <v>9</v>
      </c>
      <c r="H9" s="14" t="str">
        <f>LEFT('Éves adatsor'!H9, LEN('Éves adatsor'!H9) - 3)</f>
        <v>9</v>
      </c>
      <c r="I9" s="14" t="e">
        <f>LEFT('Éves adatsor'!I9, LEN('Éves adatsor'!I9) - 3)</f>
        <v>#VALUE!</v>
      </c>
      <c r="J9" s="14" t="e">
        <f>LEFT('Éves adatsor'!J9, LEN('Éves adatsor'!J9) - 3)</f>
        <v>#VALUE!</v>
      </c>
      <c r="K9" s="14" t="e">
        <f>LEFT('Éves adatsor'!K9, LEN('Éves adatsor'!K9) - 3)</f>
        <v>#VALUE!</v>
      </c>
      <c r="L9" s="14" t="str">
        <f>LEFT('Éves adatsor'!L9, LEN('Éves adatsor'!L9) - 3)</f>
        <v>9</v>
      </c>
      <c r="M9" s="14" t="str">
        <f>LEFT('Éves adatsor'!M9, LEN('Éves adatsor'!M9) - 3)</f>
        <v>9</v>
      </c>
      <c r="N9" s="14" t="str">
        <f>LEFT('Éves adatsor'!N9, LEN('Éves adatsor'!N9) - 3)</f>
        <v>9</v>
      </c>
      <c r="O9" s="14" t="str">
        <f>LEFT('Éves adatsor'!O9, LEN('Éves adatsor'!O9) - 3)</f>
        <v>9</v>
      </c>
      <c r="P9" s="14" t="str">
        <f>LEFT('Éves adatsor'!P9, LEN('Éves adatsor'!P9) - 3)</f>
        <v>9</v>
      </c>
      <c r="Q9" s="14" t="e">
        <f>LEFT('Éves adatsor'!Q9, LEN('Éves adatsor'!Q9) - 3)</f>
        <v>#VALUE!</v>
      </c>
      <c r="R9" s="14" t="str">
        <f>LEFT('Éves adatsor'!R9, LEN('Éves adatsor'!R9) - 3)</f>
        <v>9</v>
      </c>
      <c r="S9" s="14" t="str">
        <f>LEFT('Éves adatsor'!S9, LEN('Éves adatsor'!S9) - 3)</f>
        <v>9</v>
      </c>
      <c r="T9" s="14" t="str">
        <f>LEFT('Éves adatsor'!T9, LEN('Éves adatsor'!T9) - 3)</f>
        <v>9</v>
      </c>
      <c r="U9" s="14" t="str">
        <f>LEFT('Éves adatsor'!U9, LEN('Éves adatsor'!U9) - 3)</f>
        <v>9</v>
      </c>
      <c r="V9" s="14" t="str">
        <f>LEFT('Éves adatsor'!V9, LEN('Éves adatsor'!V9) - 3)</f>
        <v>9</v>
      </c>
      <c r="W9" s="14" t="str">
        <f>LEFT('Éves adatsor'!W9, LEN('Éves adatsor'!W9) - 3)</f>
        <v>9</v>
      </c>
      <c r="X9" s="14" t="str">
        <f>LEFT('Éves adatsor'!X9, LEN('Éves adatsor'!X9) - 3)</f>
        <v>9</v>
      </c>
      <c r="Y9" s="14" t="str">
        <f>LEFT('Éves adatsor'!Y9, LEN('Éves adatsor'!Y9) - 3)</f>
        <v>9</v>
      </c>
      <c r="Z9" s="14" t="str">
        <f>LEFT('Éves adatsor'!Z9, LEN('Éves adatsor'!Z9) - 3)</f>
        <v>9</v>
      </c>
      <c r="AA9" s="14" t="str">
        <f>LEFT('Éves adatsor'!AA9, LEN('Éves adatsor'!AA9) - 3)</f>
        <v>8</v>
      </c>
      <c r="AB9" s="14"/>
      <c r="AC9" s="14"/>
      <c r="AD9" s="14"/>
      <c r="AE9" s="14" t="str">
        <f>LEFT('Éves adatsor'!AE9, LEN('Éves adatsor'!AE9) - 3)</f>
        <v>8</v>
      </c>
      <c r="AF9" s="14" t="str">
        <f>LEFT('Éves adatsor'!AF9, LEN('Éves adatsor'!AF9) - 3)</f>
        <v>8</v>
      </c>
      <c r="AG9" s="14" t="str">
        <f>LEFT('Éves adatsor'!AG9, LEN('Éves adatsor'!AG9) - 3)</f>
        <v>8</v>
      </c>
      <c r="AH9" s="14" t="str">
        <f>LEFT('Éves adatsor'!AH9, LEN('Éves adatsor'!AH9) - 3)</f>
        <v>8</v>
      </c>
      <c r="AI9" s="14" t="str">
        <f>LEFT('Éves adatsor'!AI9, LEN('Éves adatsor'!AI9) - 3)</f>
        <v>8</v>
      </c>
      <c r="AJ9" s="14" t="str">
        <f>LEFT('Éves adatsor'!AJ9, LEN('Éves adatsor'!AJ9) - 3)</f>
        <v>8</v>
      </c>
      <c r="AK9" s="14" t="e">
        <f>LEFT('Éves adatsor'!AK9, LEN('Éves adatsor'!AK9) - 3)</f>
        <v>#VALUE!</v>
      </c>
      <c r="AL9" s="14" t="str">
        <f>LEFT('Éves adatsor'!AL9, LEN('Éves adatsor'!AL9) - 3)</f>
        <v>8</v>
      </c>
      <c r="AM9" s="14" t="str">
        <f>LEFT('Éves adatsor'!AM9, LEN('Éves adatsor'!AM9) - 3)</f>
        <v>8</v>
      </c>
      <c r="AN9" s="14" t="e">
        <f>LEFT('Éves adatsor'!AN9, LEN('Éves adatsor'!AN9) - 3)</f>
        <v>#VALUE!</v>
      </c>
      <c r="AO9" s="14" t="e">
        <f>LEFT('Éves adatsor'!AO9, LEN('Éves adatsor'!AO9) - 3)</f>
        <v>#VALUE!</v>
      </c>
      <c r="AP9" s="14" t="e">
        <f>LEFT('Éves adatsor'!AP9, LEN('Éves adatsor'!AP9) - 3)</f>
        <v>#VALUE!</v>
      </c>
      <c r="AQ9" s="14" t="e">
        <f>LEFT('Éves adatsor'!AQ9, LEN('Éves adatsor'!AQ9) - 3)</f>
        <v>#VALUE!</v>
      </c>
      <c r="AR9" s="14" t="e">
        <f>LEFT('Éves adatsor'!AR9, LEN('Éves adatsor'!AR9) - 3)</f>
        <v>#VALUE!</v>
      </c>
      <c r="AS9" s="14" t="e">
        <f>LEFT('Éves adatsor'!AS9, LEN('Éves adatsor'!AS9) - 3)</f>
        <v>#VALUE!</v>
      </c>
      <c r="AT9" s="14" t="e">
        <f>LEFT('Éves adatsor'!AT9, LEN('Éves adatsor'!AT9) - 3)</f>
        <v>#VALUE!</v>
      </c>
      <c r="AU9" s="14" t="e">
        <f t="shared" si="0"/>
        <v>#VALUE!</v>
      </c>
    </row>
    <row r="10" spans="2:47" ht="12.75" x14ac:dyDescent="0.2">
      <c r="B10" s="12" t="str">
        <f>'Éves adatsor'!B10</f>
        <v>Varga Szabolcs</v>
      </c>
      <c r="C10" s="14" t="str">
        <f>LEFT('Éves adatsor'!C10, LEN('Éves adatsor'!C10) - 3)</f>
        <v>9</v>
      </c>
      <c r="D10" s="14" t="str">
        <f>LEFT('Éves adatsor'!D10, LEN('Éves adatsor'!D10) - 3)</f>
        <v>9</v>
      </c>
      <c r="E10" s="14" t="str">
        <f>LEFT('Éves adatsor'!E10, LEN('Éves adatsor'!E10) - 3)</f>
        <v>9</v>
      </c>
      <c r="F10" s="14" t="e">
        <f>LEFT('Éves adatsor'!F10, LEN('Éves adatsor'!F10) - 3)</f>
        <v>#VALUE!</v>
      </c>
      <c r="G10" s="14" t="str">
        <f>LEFT('Éves adatsor'!G10, LEN('Éves adatsor'!G10) - 3)</f>
        <v>9</v>
      </c>
      <c r="H10" s="14" t="str">
        <f>LEFT('Éves adatsor'!H10, LEN('Éves adatsor'!H10) - 3)</f>
        <v>9</v>
      </c>
      <c r="I10" s="14" t="str">
        <f>LEFT('Éves adatsor'!I10, LEN('Éves adatsor'!I10) - 3)</f>
        <v>9</v>
      </c>
      <c r="J10" s="14" t="str">
        <f>LEFT('Éves adatsor'!J10, LEN('Éves adatsor'!J10) - 3)</f>
        <v>9</v>
      </c>
      <c r="K10" s="14" t="str">
        <f>LEFT('Éves adatsor'!K10, LEN('Éves adatsor'!K10) - 3)</f>
        <v>9</v>
      </c>
      <c r="L10" s="14" t="e">
        <f>LEFT('Éves adatsor'!L10, LEN('Éves adatsor'!L10) - 3)</f>
        <v>#VALUE!</v>
      </c>
      <c r="M10" s="14" t="str">
        <f>LEFT('Éves adatsor'!M10, LEN('Éves adatsor'!M10) - 3)</f>
        <v>9</v>
      </c>
      <c r="N10" s="14" t="e">
        <f>LEFT('Éves adatsor'!N10, LEN('Éves adatsor'!N10) - 3)</f>
        <v>#VALUE!</v>
      </c>
      <c r="O10" s="14" t="str">
        <f>LEFT('Éves adatsor'!O10, LEN('Éves adatsor'!O10) - 3)</f>
        <v>9</v>
      </c>
      <c r="P10" s="14" t="str">
        <f>LEFT('Éves adatsor'!P10, LEN('Éves adatsor'!P10) - 3)</f>
        <v>9</v>
      </c>
      <c r="Q10" s="14" t="str">
        <f>LEFT('Éves adatsor'!Q10, LEN('Éves adatsor'!Q10) - 3)</f>
        <v>9</v>
      </c>
      <c r="R10" s="14" t="str">
        <f>LEFT('Éves adatsor'!R10, LEN('Éves adatsor'!R10) - 3)</f>
        <v>9</v>
      </c>
      <c r="S10" s="14" t="str">
        <f>LEFT('Éves adatsor'!S10, LEN('Éves adatsor'!S10) - 3)</f>
        <v>9</v>
      </c>
      <c r="T10" s="14" t="str">
        <f>LEFT('Éves adatsor'!T10, LEN('Éves adatsor'!T10) - 3)</f>
        <v>9</v>
      </c>
      <c r="U10" s="14" t="e">
        <f>LEFT('Éves adatsor'!U10, LEN('Éves adatsor'!U10) - 3)</f>
        <v>#VALUE!</v>
      </c>
      <c r="V10" s="14" t="str">
        <f>LEFT('Éves adatsor'!V10, LEN('Éves adatsor'!V10) - 3)</f>
        <v>9</v>
      </c>
      <c r="W10" s="14" t="e">
        <f>LEFT('Éves adatsor'!W10, LEN('Éves adatsor'!W10) - 3)</f>
        <v>#VALUE!</v>
      </c>
      <c r="X10" s="14" t="str">
        <f>LEFT('Éves adatsor'!X10, LEN('Éves adatsor'!X10) - 3)</f>
        <v>9</v>
      </c>
      <c r="Y10" s="14" t="str">
        <f>LEFT('Éves adatsor'!Y10, LEN('Éves adatsor'!Y10) - 3)</f>
        <v>9</v>
      </c>
      <c r="Z10" s="14" t="str">
        <f>LEFT('Éves adatsor'!Z10, LEN('Éves adatsor'!Z10) - 3)</f>
        <v/>
      </c>
      <c r="AA10" s="14" t="str">
        <f>LEFT('Éves adatsor'!AA10, LEN('Éves adatsor'!AA10) - 3)</f>
        <v>10</v>
      </c>
      <c r="AB10" s="14"/>
      <c r="AC10" s="14"/>
      <c r="AD10" s="14"/>
      <c r="AE10" s="14" t="str">
        <f>LEFT('Éves adatsor'!AE10, LEN('Éves adatsor'!AE10) - 3)</f>
        <v>10</v>
      </c>
      <c r="AF10" s="14" t="str">
        <f>LEFT('Éves adatsor'!AF10, LEN('Éves adatsor'!AF10) - 3)</f>
        <v/>
      </c>
      <c r="AG10" s="14" t="str">
        <f>LEFT('Éves adatsor'!AG10, LEN('Éves adatsor'!AG10) - 3)</f>
        <v/>
      </c>
      <c r="AH10" s="14" t="str">
        <f>LEFT('Éves adatsor'!AH10, LEN('Éves adatsor'!AH10) - 3)</f>
        <v>10</v>
      </c>
      <c r="AI10" s="14" t="str">
        <f>LEFT('Éves adatsor'!AI10, LEN('Éves adatsor'!AI10) - 3)</f>
        <v>10</v>
      </c>
      <c r="AJ10" s="14" t="str">
        <f>LEFT('Éves adatsor'!AJ10, LEN('Éves adatsor'!AJ10) - 3)</f>
        <v>10</v>
      </c>
      <c r="AK10" s="14" t="str">
        <f>LEFT('Éves adatsor'!AK10, LEN('Éves adatsor'!AK10) - 3)</f>
        <v>10</v>
      </c>
      <c r="AL10" s="14" t="str">
        <f>LEFT('Éves adatsor'!AL10, LEN('Éves adatsor'!AL10) - 3)</f>
        <v>10</v>
      </c>
      <c r="AM10" s="14" t="str">
        <f>LEFT('Éves adatsor'!AM10, LEN('Éves adatsor'!AM10) - 3)</f>
        <v>10</v>
      </c>
      <c r="AN10" s="14" t="e">
        <f>LEFT('Éves adatsor'!AN10, LEN('Éves adatsor'!AN10) - 3)</f>
        <v>#VALUE!</v>
      </c>
      <c r="AO10" s="14" t="e">
        <f>LEFT('Éves adatsor'!AO10, LEN('Éves adatsor'!AO10) - 3)</f>
        <v>#VALUE!</v>
      </c>
      <c r="AP10" s="14" t="e">
        <f>LEFT('Éves adatsor'!AP10, LEN('Éves adatsor'!AP10) - 3)</f>
        <v>#VALUE!</v>
      </c>
      <c r="AQ10" s="14" t="e">
        <f>LEFT('Éves adatsor'!AQ10, LEN('Éves adatsor'!AQ10) - 3)</f>
        <v>#VALUE!</v>
      </c>
      <c r="AR10" s="14" t="e">
        <f>LEFT('Éves adatsor'!AR10, LEN('Éves adatsor'!AR10) - 3)</f>
        <v>#VALUE!</v>
      </c>
      <c r="AS10" s="14" t="e">
        <f>LEFT('Éves adatsor'!AS10, LEN('Éves adatsor'!AS10) - 3)</f>
        <v>#VALUE!</v>
      </c>
      <c r="AT10" s="14" t="e">
        <f>LEFT('Éves adatsor'!AT10, LEN('Éves adatsor'!AT10) - 3)</f>
        <v>#VALUE!</v>
      </c>
      <c r="AU10" s="14" t="e">
        <f t="shared" si="0"/>
        <v>#VALUE!</v>
      </c>
    </row>
    <row r="11" spans="2:47" ht="12.75" x14ac:dyDescent="0.2">
      <c r="B11" s="12" t="str">
        <f>'Éves adatsor'!B11</f>
        <v>Vaspál Gergő</v>
      </c>
      <c r="C11" s="14" t="str">
        <f>LEFT('Éves adatsor'!C11, LEN('Éves adatsor'!C11) - 3)</f>
        <v>8</v>
      </c>
      <c r="D11" s="14" t="str">
        <f>LEFT('Éves adatsor'!D11, LEN('Éves adatsor'!D11) - 3)</f>
        <v>9</v>
      </c>
      <c r="E11" s="14" t="str">
        <f>LEFT('Éves adatsor'!E11, LEN('Éves adatsor'!E11) - 3)</f>
        <v>9</v>
      </c>
      <c r="F11" s="14" t="str">
        <f>LEFT('Éves adatsor'!F11, LEN('Éves adatsor'!F11) - 3)</f>
        <v>9</v>
      </c>
      <c r="G11" s="14" t="str">
        <f>LEFT('Éves adatsor'!G11, LEN('Éves adatsor'!G11) - 3)</f>
        <v>9</v>
      </c>
      <c r="H11" s="14" t="str">
        <f>LEFT('Éves adatsor'!H11, LEN('Éves adatsor'!H11) - 3)</f>
        <v>9</v>
      </c>
      <c r="I11" s="14" t="str">
        <f>LEFT('Éves adatsor'!I11, LEN('Éves adatsor'!I11) - 3)</f>
        <v>9</v>
      </c>
      <c r="J11" s="14" t="str">
        <f>LEFT('Éves adatsor'!J11, LEN('Éves adatsor'!J11) - 3)</f>
        <v>9</v>
      </c>
      <c r="K11" s="14" t="str">
        <f>LEFT('Éves adatsor'!K11, LEN('Éves adatsor'!K11) - 3)</f>
        <v>9</v>
      </c>
      <c r="L11" s="14" t="str">
        <f>LEFT('Éves adatsor'!L11, LEN('Éves adatsor'!L11) - 3)</f>
        <v>9</v>
      </c>
      <c r="M11" s="14" t="e">
        <f>LEFT('Éves adatsor'!M11, LEN('Éves adatsor'!M11) - 3)</f>
        <v>#VALUE!</v>
      </c>
      <c r="N11" s="14" t="str">
        <f>LEFT('Éves adatsor'!N11, LEN('Éves adatsor'!N11) - 3)</f>
        <v>9</v>
      </c>
      <c r="O11" s="14" t="str">
        <f>LEFT('Éves adatsor'!O11, LEN('Éves adatsor'!O11) - 3)</f>
        <v>9</v>
      </c>
      <c r="P11" s="14" t="str">
        <f>LEFT('Éves adatsor'!P11, LEN('Éves adatsor'!P11) - 3)</f>
        <v>9</v>
      </c>
      <c r="Q11" s="14" t="str">
        <f>LEFT('Éves adatsor'!Q11, LEN('Éves adatsor'!Q11) - 3)</f>
        <v>9</v>
      </c>
      <c r="R11" s="14" t="str">
        <f>LEFT('Éves adatsor'!R11, LEN('Éves adatsor'!R11) - 3)</f>
        <v>9</v>
      </c>
      <c r="S11" s="14" t="str">
        <f>LEFT('Éves adatsor'!S11, LEN('Éves adatsor'!S11) - 3)</f>
        <v>9</v>
      </c>
      <c r="T11" s="14" t="e">
        <f>LEFT('Éves adatsor'!T11, LEN('Éves adatsor'!T11) - 3)</f>
        <v>#VALUE!</v>
      </c>
      <c r="U11" s="14" t="str">
        <f>LEFT('Éves adatsor'!U11, LEN('Éves adatsor'!U11) - 3)</f>
        <v>8</v>
      </c>
      <c r="V11" s="14" t="str">
        <f>LEFT('Éves adatsor'!V11, LEN('Éves adatsor'!V11) - 3)</f>
        <v>8</v>
      </c>
      <c r="W11" s="14" t="str">
        <f>LEFT('Éves adatsor'!W11, LEN('Éves adatsor'!W11) - 3)</f>
        <v>8</v>
      </c>
      <c r="X11" s="14" t="str">
        <f>LEFT('Éves adatsor'!X11, LEN('Éves adatsor'!X11) - 3)</f>
        <v>8</v>
      </c>
      <c r="Y11" s="14" t="str">
        <f>LEFT('Éves adatsor'!Y11, LEN('Éves adatsor'!Y11) - 3)</f>
        <v>8</v>
      </c>
      <c r="Z11" s="14" t="e">
        <f>LEFT('Éves adatsor'!Z11, LEN('Éves adatsor'!Z11) - 3)</f>
        <v>#VALUE!</v>
      </c>
      <c r="AA11" s="14" t="str">
        <f>LEFT('Éves adatsor'!AA11, LEN('Éves adatsor'!AA11) - 3)</f>
        <v>9</v>
      </c>
      <c r="AB11" s="14"/>
      <c r="AC11" s="14"/>
      <c r="AD11" s="14"/>
      <c r="AE11" s="14" t="str">
        <f>LEFT('Éves adatsor'!AE11, LEN('Éves adatsor'!AE11) - 3)</f>
        <v>9</v>
      </c>
      <c r="AF11" s="14" t="str">
        <f>LEFT('Éves adatsor'!AF11, LEN('Éves adatsor'!AF11) - 3)</f>
        <v>9</v>
      </c>
      <c r="AG11" s="14" t="str">
        <f>LEFT('Éves adatsor'!AG11, LEN('Éves adatsor'!AG11) - 3)</f>
        <v>9</v>
      </c>
      <c r="AH11" s="14" t="str">
        <f>LEFT('Éves adatsor'!AH11, LEN('Éves adatsor'!AH11) - 3)</f>
        <v>9</v>
      </c>
      <c r="AI11" s="14" t="str">
        <f>LEFT('Éves adatsor'!AI11, LEN('Éves adatsor'!AI11) - 3)</f>
        <v>9</v>
      </c>
      <c r="AJ11" s="14" t="str">
        <f>LEFT('Éves adatsor'!AJ11, LEN('Éves adatsor'!AJ11) - 3)</f>
        <v>9</v>
      </c>
      <c r="AK11" s="14" t="str">
        <f>LEFT('Éves adatsor'!AK11, LEN('Éves adatsor'!AK11) - 3)</f>
        <v>9</v>
      </c>
      <c r="AL11" s="14" t="str">
        <f>LEFT('Éves adatsor'!AL11, LEN('Éves adatsor'!AL11) - 3)</f>
        <v>9</v>
      </c>
      <c r="AM11" s="14" t="e">
        <f>LEFT('Éves adatsor'!AM11, LEN('Éves adatsor'!AM11) - 3)</f>
        <v>#VALUE!</v>
      </c>
      <c r="AN11" s="14" t="e">
        <f>LEFT('Éves adatsor'!AN11, LEN('Éves adatsor'!AN11) - 3)</f>
        <v>#VALUE!</v>
      </c>
      <c r="AO11" s="14" t="e">
        <f>LEFT('Éves adatsor'!AO11, LEN('Éves adatsor'!AO11) - 3)</f>
        <v>#VALUE!</v>
      </c>
      <c r="AP11" s="14" t="e">
        <f>LEFT('Éves adatsor'!AP11, LEN('Éves adatsor'!AP11) - 3)</f>
        <v>#VALUE!</v>
      </c>
      <c r="AQ11" s="14" t="e">
        <f>LEFT('Éves adatsor'!AQ11, LEN('Éves adatsor'!AQ11) - 3)</f>
        <v>#VALUE!</v>
      </c>
      <c r="AR11" s="14" t="e">
        <f>LEFT('Éves adatsor'!AR11, LEN('Éves adatsor'!AR11) - 3)</f>
        <v>#VALUE!</v>
      </c>
      <c r="AS11" s="14" t="e">
        <f>LEFT('Éves adatsor'!AS11, LEN('Éves adatsor'!AS11) - 3)</f>
        <v>#VALUE!</v>
      </c>
      <c r="AT11" s="14" t="e">
        <f>LEFT('Éves adatsor'!AT11, LEN('Éves adatsor'!AT11) - 3)</f>
        <v>#VALUE!</v>
      </c>
      <c r="AU11" s="14" t="e">
        <f t="shared" si="0"/>
        <v>#VALUE!</v>
      </c>
    </row>
    <row r="12" spans="2:47" ht="12.75" x14ac:dyDescent="0.2">
      <c r="B12" s="12" t="str">
        <f>'Éves adatsor'!B12</f>
        <v>Várnoki Ádám</v>
      </c>
      <c r="C12" s="14" t="str">
        <f>LEFT('Éves adatsor'!C12, LEN('Éves adatsor'!C12) - 3)</f>
        <v/>
      </c>
      <c r="D12" s="14" t="str">
        <f>LEFT('Éves adatsor'!D12, LEN('Éves adatsor'!D12) - 3)</f>
        <v>10</v>
      </c>
      <c r="E12" s="14" t="str">
        <f>LEFT('Éves adatsor'!E12, LEN('Éves adatsor'!E12) - 3)</f>
        <v>10</v>
      </c>
      <c r="F12" s="14" t="str">
        <f>LEFT('Éves adatsor'!F12, LEN('Éves adatsor'!F12) - 3)</f>
        <v>10</v>
      </c>
      <c r="G12" s="14" t="str">
        <f>LEFT('Éves adatsor'!G12, LEN('Éves adatsor'!G12) - 3)</f>
        <v>10</v>
      </c>
      <c r="H12" s="14" t="str">
        <f>LEFT('Éves adatsor'!H12, LEN('Éves adatsor'!H12) - 3)</f>
        <v>10</v>
      </c>
      <c r="I12" s="14" t="str">
        <f>LEFT('Éves adatsor'!I12, LEN('Éves adatsor'!I12) - 3)</f>
        <v>10</v>
      </c>
      <c r="J12" s="14" t="str">
        <f>LEFT('Éves adatsor'!J12, LEN('Éves adatsor'!J12) - 3)</f>
        <v>10</v>
      </c>
      <c r="K12" s="14" t="str">
        <f>LEFT('Éves adatsor'!K12, LEN('Éves adatsor'!K12) - 3)</f>
        <v/>
      </c>
      <c r="L12" s="14" t="str">
        <f>LEFT('Éves adatsor'!L12, LEN('Éves adatsor'!L12) - 3)</f>
        <v>10</v>
      </c>
      <c r="M12" s="14" t="str">
        <f>LEFT('Éves adatsor'!M12, LEN('Éves adatsor'!M12) - 3)</f>
        <v>10</v>
      </c>
      <c r="N12" s="14" t="str">
        <f>LEFT('Éves adatsor'!N12, LEN('Éves adatsor'!N12) - 3)</f>
        <v>10</v>
      </c>
      <c r="O12" s="14" t="str">
        <f>LEFT('Éves adatsor'!O12, LEN('Éves adatsor'!O12) - 3)</f>
        <v>10</v>
      </c>
      <c r="P12" s="14" t="str">
        <f>LEFT('Éves adatsor'!P12, LEN('Éves adatsor'!P12) - 3)</f>
        <v/>
      </c>
      <c r="Q12" s="14" t="str">
        <f>LEFT('Éves adatsor'!Q12, LEN('Éves adatsor'!Q12) - 3)</f>
        <v>10</v>
      </c>
      <c r="R12" s="14" t="str">
        <f>LEFT('Éves adatsor'!R12, LEN('Éves adatsor'!R12) - 3)</f>
        <v>10</v>
      </c>
      <c r="S12" s="14" t="str">
        <f>LEFT('Éves adatsor'!S12, LEN('Éves adatsor'!S12) - 3)</f>
        <v/>
      </c>
      <c r="T12" s="14" t="str">
        <f>LEFT('Éves adatsor'!T12, LEN('Éves adatsor'!T12) - 3)</f>
        <v>10</v>
      </c>
      <c r="U12" s="14" t="str">
        <f>LEFT('Éves adatsor'!U12, LEN('Éves adatsor'!U12) - 3)</f>
        <v>10</v>
      </c>
      <c r="V12" s="14" t="str">
        <f>LEFT('Éves adatsor'!V12, LEN('Éves adatsor'!V12) - 3)</f>
        <v>10</v>
      </c>
      <c r="W12" s="14" t="str">
        <f>LEFT('Éves adatsor'!W12, LEN('Éves adatsor'!W12) - 3)</f>
        <v>10</v>
      </c>
      <c r="X12" s="14" t="str">
        <f>LEFT('Éves adatsor'!X12, LEN('Éves adatsor'!X12) - 3)</f>
        <v>10</v>
      </c>
      <c r="Y12" s="14" t="str">
        <f>LEFT('Éves adatsor'!Y12, LEN('Éves adatsor'!Y12) - 3)</f>
        <v>10</v>
      </c>
      <c r="Z12" s="14" t="str">
        <f>LEFT('Éves adatsor'!Z12, LEN('Éves adatsor'!Z12) - 3)</f>
        <v>10</v>
      </c>
      <c r="AA12" s="14" t="str">
        <f>LEFT('Éves adatsor'!AA12, LEN('Éves adatsor'!AA12) - 3)</f>
        <v>10</v>
      </c>
      <c r="AB12" s="14"/>
      <c r="AC12" s="14"/>
      <c r="AD12" s="14"/>
      <c r="AE12" s="14" t="str">
        <f>LEFT('Éves adatsor'!AE12, LEN('Éves adatsor'!AE12) - 3)</f>
        <v>10</v>
      </c>
      <c r="AF12" s="14" t="str">
        <f>LEFT('Éves adatsor'!AF12, LEN('Éves adatsor'!AF12) - 3)</f>
        <v/>
      </c>
      <c r="AG12" s="14" t="str">
        <f>LEFT('Éves adatsor'!AG12, LEN('Éves adatsor'!AG12) - 3)</f>
        <v>10</v>
      </c>
      <c r="AH12" s="14" t="str">
        <f>LEFT('Éves adatsor'!AH12, LEN('Éves adatsor'!AH12) - 3)</f>
        <v>10</v>
      </c>
      <c r="AI12" s="14" t="str">
        <f>LEFT('Éves adatsor'!AI12, LEN('Éves adatsor'!AI12) - 3)</f>
        <v/>
      </c>
      <c r="AJ12" s="14" t="str">
        <f>LEFT('Éves adatsor'!AJ12, LEN('Éves adatsor'!AJ12) - 3)</f>
        <v>10</v>
      </c>
      <c r="AK12" s="14" t="str">
        <f>LEFT('Éves adatsor'!AK12, LEN('Éves adatsor'!AK12) - 3)</f>
        <v/>
      </c>
      <c r="AL12" s="14" t="str">
        <f>LEFT('Éves adatsor'!AL12, LEN('Éves adatsor'!AL12) - 3)</f>
        <v>10</v>
      </c>
      <c r="AM12" s="14" t="str">
        <f>LEFT('Éves adatsor'!AM12, LEN('Éves adatsor'!AM12) - 3)</f>
        <v>10</v>
      </c>
      <c r="AN12" s="14" t="e">
        <f>LEFT('Éves adatsor'!AN12, LEN('Éves adatsor'!AN12) - 3)</f>
        <v>#VALUE!</v>
      </c>
      <c r="AO12" s="14" t="e">
        <f>LEFT('Éves adatsor'!AO12, LEN('Éves adatsor'!AO12) - 3)</f>
        <v>#VALUE!</v>
      </c>
      <c r="AP12" s="14" t="e">
        <f>LEFT('Éves adatsor'!AP12, LEN('Éves adatsor'!AP12) - 3)</f>
        <v>#VALUE!</v>
      </c>
      <c r="AQ12" s="14" t="e">
        <f>LEFT('Éves adatsor'!AQ12, LEN('Éves adatsor'!AQ12) - 3)</f>
        <v>#VALUE!</v>
      </c>
      <c r="AR12" s="14" t="e">
        <f>LEFT('Éves adatsor'!AR12, LEN('Éves adatsor'!AR12) - 3)</f>
        <v>#VALUE!</v>
      </c>
      <c r="AS12" s="14" t="e">
        <f>LEFT('Éves adatsor'!AS12, LEN('Éves adatsor'!AS12) - 3)</f>
        <v>#VALUE!</v>
      </c>
      <c r="AT12" s="14" t="e">
        <f>LEFT('Éves adatsor'!AT12, LEN('Éves adatsor'!AT12) - 3)</f>
        <v>#VALUE!</v>
      </c>
      <c r="AU12" s="14" t="e">
        <f t="shared" si="0"/>
        <v>#VALUE!</v>
      </c>
    </row>
    <row r="13" spans="2:47" ht="12.75" x14ac:dyDescent="0.2">
      <c r="B13" s="12" t="str">
        <f>'Éves adatsor'!B13</f>
        <v>Szikora István</v>
      </c>
      <c r="C13" s="14" t="str">
        <f>LEFT('Éves adatsor'!C13, LEN('Éves adatsor'!C13) - 3)</f>
        <v/>
      </c>
      <c r="D13" s="14" t="str">
        <f>LEFT('Éves adatsor'!D13, LEN('Éves adatsor'!D13) - 3)</f>
        <v/>
      </c>
      <c r="E13" s="14" t="str">
        <f>LEFT('Éves adatsor'!E13, LEN('Éves adatsor'!E13) - 3)</f>
        <v/>
      </c>
      <c r="F13" s="14" t="str">
        <f>LEFT('Éves adatsor'!F13, LEN('Éves adatsor'!F13) - 3)</f>
        <v/>
      </c>
      <c r="G13" s="14" t="str">
        <f>LEFT('Éves adatsor'!G13, LEN('Éves adatsor'!G13) - 3)</f>
        <v/>
      </c>
      <c r="H13" s="14" t="str">
        <f>LEFT('Éves adatsor'!H13, LEN('Éves adatsor'!H13) - 3)</f>
        <v/>
      </c>
      <c r="I13" s="14" t="str">
        <f>LEFT('Éves adatsor'!I13, LEN('Éves adatsor'!I13) - 3)</f>
        <v/>
      </c>
      <c r="J13" s="14" t="str">
        <f>LEFT('Éves adatsor'!J13, LEN('Éves adatsor'!J13) - 3)</f>
        <v/>
      </c>
      <c r="K13" s="14" t="str">
        <f>LEFT('Éves adatsor'!K13, LEN('Éves adatsor'!K13) - 3)</f>
        <v/>
      </c>
      <c r="L13" s="14" t="str">
        <f>LEFT('Éves adatsor'!L13, LEN('Éves adatsor'!L13) - 3)</f>
        <v/>
      </c>
      <c r="M13" s="14" t="str">
        <f>LEFT('Éves adatsor'!M13, LEN('Éves adatsor'!M13) - 3)</f>
        <v/>
      </c>
      <c r="N13" s="14" t="str">
        <f>LEFT('Éves adatsor'!N13, LEN('Éves adatsor'!N13) - 3)</f>
        <v/>
      </c>
      <c r="O13" s="14" t="str">
        <f>LEFT('Éves adatsor'!O13, LEN('Éves adatsor'!O13) - 3)</f>
        <v/>
      </c>
      <c r="P13" s="14" t="str">
        <f>LEFT('Éves adatsor'!P13, LEN('Éves adatsor'!P13) - 3)</f>
        <v/>
      </c>
      <c r="Q13" s="14" t="str">
        <f>LEFT('Éves adatsor'!Q13, LEN('Éves adatsor'!Q13) - 3)</f>
        <v/>
      </c>
      <c r="R13" s="14" t="str">
        <f>LEFT('Éves adatsor'!R13, LEN('Éves adatsor'!R13) - 3)</f>
        <v/>
      </c>
      <c r="S13" s="14" t="str">
        <f>LEFT('Éves adatsor'!S13, LEN('Éves adatsor'!S13) - 3)</f>
        <v/>
      </c>
      <c r="T13" s="14" t="str">
        <f>LEFT('Éves adatsor'!T13, LEN('Éves adatsor'!T13) - 3)</f>
        <v/>
      </c>
      <c r="U13" s="14" t="str">
        <f>LEFT('Éves adatsor'!U13, LEN('Éves adatsor'!U13) - 3)</f>
        <v>10</v>
      </c>
      <c r="V13" s="14" t="str">
        <f>LEFT('Éves adatsor'!V13, LEN('Éves adatsor'!V13) - 3)</f>
        <v>9</v>
      </c>
      <c r="W13" s="14" t="str">
        <f>LEFT('Éves adatsor'!W13, LEN('Éves adatsor'!W13) - 3)</f>
        <v>9</v>
      </c>
      <c r="X13" s="14" t="str">
        <f>LEFT('Éves adatsor'!X13, LEN('Éves adatsor'!X13) - 3)</f>
        <v>9</v>
      </c>
      <c r="Y13" s="14" t="str">
        <f>LEFT('Éves adatsor'!Y13, LEN('Éves adatsor'!Y13) - 3)</f>
        <v/>
      </c>
      <c r="Z13" s="14" t="str">
        <f>LEFT('Éves adatsor'!Z13, LEN('Éves adatsor'!Z13) - 3)</f>
        <v/>
      </c>
      <c r="AA13" s="14" t="str">
        <f>LEFT('Éves adatsor'!AA13, LEN('Éves adatsor'!AA13) - 3)</f>
        <v>10</v>
      </c>
      <c r="AB13" s="14"/>
      <c r="AC13" s="14"/>
      <c r="AD13" s="14"/>
      <c r="AE13" s="14" t="str">
        <f>LEFT('Éves adatsor'!AE13, LEN('Éves adatsor'!AE13) - 3)</f>
        <v>10</v>
      </c>
      <c r="AF13" s="14" t="str">
        <f>LEFT('Éves adatsor'!AF13, LEN('Éves adatsor'!AF13) - 3)</f>
        <v>10</v>
      </c>
      <c r="AG13" s="14" t="str">
        <f>LEFT('Éves adatsor'!AG13, LEN('Éves adatsor'!AG13) - 3)</f>
        <v>10</v>
      </c>
      <c r="AH13" s="14" t="str">
        <f>LEFT('Éves adatsor'!AH13, LEN('Éves adatsor'!AH13) - 3)</f>
        <v>10</v>
      </c>
      <c r="AI13" s="14" t="str">
        <f>LEFT('Éves adatsor'!AI13, LEN('Éves adatsor'!AI13) - 3)</f>
        <v/>
      </c>
      <c r="AJ13" s="14" t="str">
        <f>LEFT('Éves adatsor'!AJ13, LEN('Éves adatsor'!AJ13) - 3)</f>
        <v>10</v>
      </c>
      <c r="AK13" s="14" t="str">
        <f>LEFT('Éves adatsor'!AK13, LEN('Éves adatsor'!AK13) - 3)</f>
        <v>9</v>
      </c>
      <c r="AL13" s="14" t="str">
        <f>LEFT('Éves adatsor'!AL13, LEN('Éves adatsor'!AL13) - 3)</f>
        <v>9</v>
      </c>
      <c r="AM13" s="14" t="str">
        <f>LEFT('Éves adatsor'!AM13, LEN('Éves adatsor'!AM13) - 3)</f>
        <v>9</v>
      </c>
      <c r="AN13" s="14" t="e">
        <f>LEFT('Éves adatsor'!AN13, LEN('Éves adatsor'!AN13) - 3)</f>
        <v>#VALUE!</v>
      </c>
      <c r="AO13" s="14" t="e">
        <f>LEFT('Éves adatsor'!AO13, LEN('Éves adatsor'!AO13) - 3)</f>
        <v>#VALUE!</v>
      </c>
      <c r="AP13" s="14" t="e">
        <f>LEFT('Éves adatsor'!AP13, LEN('Éves adatsor'!AP13) - 3)</f>
        <v>#VALUE!</v>
      </c>
      <c r="AQ13" s="14" t="e">
        <f>LEFT('Éves adatsor'!AQ13, LEN('Éves adatsor'!AQ13) - 3)</f>
        <v>#VALUE!</v>
      </c>
      <c r="AR13" s="14" t="e">
        <f>LEFT('Éves adatsor'!AR13, LEN('Éves adatsor'!AR13) - 3)</f>
        <v>#VALUE!</v>
      </c>
      <c r="AS13" s="14" t="e">
        <f>LEFT('Éves adatsor'!AS13, LEN('Éves adatsor'!AS13) - 3)</f>
        <v>#VALUE!</v>
      </c>
      <c r="AT13" s="14" t="e">
        <f>LEFT('Éves adatsor'!AT13, LEN('Éves adatsor'!AT13) - 3)</f>
        <v>#VALUE!</v>
      </c>
      <c r="AU13" s="14" t="e">
        <f t="shared" si="0"/>
        <v>#VALUE!</v>
      </c>
    </row>
    <row r="14" spans="2:47" ht="12.75" x14ac:dyDescent="0.2">
      <c r="B14" s="12">
        <f>'Éves adatsor'!B14</f>
        <v>0</v>
      </c>
    </row>
    <row r="17" spans="2:47" ht="12.75" x14ac:dyDescent="0.2">
      <c r="C17" s="12" t="str">
        <f t="shared" ref="C17:Z17" si="1">C4</f>
        <v>7. hét</v>
      </c>
      <c r="D17" s="12" t="str">
        <f t="shared" si="1"/>
        <v>8. hét</v>
      </c>
      <c r="E17" s="12" t="str">
        <f t="shared" si="1"/>
        <v>9. hét</v>
      </c>
      <c r="F17" s="12" t="str">
        <f t="shared" si="1"/>
        <v>10. hét</v>
      </c>
      <c r="G17" s="12" t="str">
        <f t="shared" si="1"/>
        <v>11. hét</v>
      </c>
      <c r="H17" s="12" t="str">
        <f t="shared" si="1"/>
        <v>12. hét</v>
      </c>
      <c r="I17" s="12" t="str">
        <f t="shared" si="1"/>
        <v>13. hét</v>
      </c>
      <c r="J17" s="12" t="str">
        <f t="shared" si="1"/>
        <v>14. hét</v>
      </c>
      <c r="K17" s="12" t="str">
        <f t="shared" si="1"/>
        <v>15. hét</v>
      </c>
      <c r="L17" s="12" t="str">
        <f t="shared" si="1"/>
        <v>16. hét</v>
      </c>
      <c r="M17" s="12" t="str">
        <f t="shared" si="1"/>
        <v>17. hét</v>
      </c>
      <c r="N17" s="12" t="str">
        <f t="shared" si="1"/>
        <v>18. hét</v>
      </c>
      <c r="O17" s="12" t="str">
        <f t="shared" si="1"/>
        <v>19. hét</v>
      </c>
      <c r="P17" s="12" t="str">
        <f t="shared" si="1"/>
        <v>20. hét</v>
      </c>
      <c r="Q17" s="12" t="str">
        <f t="shared" si="1"/>
        <v>21. hét</v>
      </c>
      <c r="R17" s="12" t="str">
        <f t="shared" si="1"/>
        <v>22. hét</v>
      </c>
      <c r="S17" s="12" t="str">
        <f t="shared" si="1"/>
        <v>23. hét</v>
      </c>
      <c r="T17" s="12" t="str">
        <f t="shared" si="1"/>
        <v>24. hét</v>
      </c>
      <c r="U17" s="12" t="str">
        <f t="shared" si="1"/>
        <v>25 .hét</v>
      </c>
      <c r="V17" s="12" t="str">
        <f t="shared" si="1"/>
        <v>26. hét</v>
      </c>
      <c r="W17" s="12" t="str">
        <f t="shared" si="1"/>
        <v>27. hét</v>
      </c>
      <c r="X17" s="12" t="str">
        <f t="shared" si="1"/>
        <v>28. hét</v>
      </c>
      <c r="Y17" s="12" t="str">
        <f t="shared" si="1"/>
        <v>29. hét</v>
      </c>
      <c r="Z17" s="12" t="str">
        <f t="shared" si="1"/>
        <v>30. hét</v>
      </c>
      <c r="AA17" s="7" t="s">
        <v>78</v>
      </c>
      <c r="AB17" s="7" t="s">
        <v>79</v>
      </c>
      <c r="AC17" s="7" t="s">
        <v>80</v>
      </c>
      <c r="AD17" s="7" t="s">
        <v>81</v>
      </c>
      <c r="AE17" s="7" t="s">
        <v>82</v>
      </c>
      <c r="AF17" s="7" t="s">
        <v>83</v>
      </c>
      <c r="AG17" s="7" t="s">
        <v>84</v>
      </c>
      <c r="AH17" s="7" t="s">
        <v>85</v>
      </c>
      <c r="AI17" s="7" t="s">
        <v>86</v>
      </c>
      <c r="AJ17" s="7" t="s">
        <v>87</v>
      </c>
      <c r="AK17" s="7" t="s">
        <v>88</v>
      </c>
      <c r="AL17" s="7" t="s">
        <v>89</v>
      </c>
      <c r="AM17" s="7" t="s">
        <v>90</v>
      </c>
      <c r="AN17" s="7" t="s">
        <v>91</v>
      </c>
      <c r="AO17" s="7" t="s">
        <v>92</v>
      </c>
      <c r="AP17" s="7" t="s">
        <v>93</v>
      </c>
      <c r="AQ17" s="7" t="s">
        <v>94</v>
      </c>
      <c r="AR17" s="7" t="s">
        <v>95</v>
      </c>
      <c r="AS17" s="7" t="s">
        <v>96</v>
      </c>
      <c r="AT17" s="7" t="s">
        <v>97</v>
      </c>
      <c r="AU17" s="7"/>
    </row>
    <row r="18" spans="2:47" ht="12.75" x14ac:dyDescent="0.2">
      <c r="B18" s="12" t="s">
        <v>25</v>
      </c>
      <c r="C18" s="15">
        <v>0</v>
      </c>
      <c r="D18" s="11" t="e">
        <f t="shared" ref="D18:AA18" si="2">(D5-$C5)/$C5</f>
        <v>#VALUE!</v>
      </c>
      <c r="E18" s="11" t="e">
        <f t="shared" si="2"/>
        <v>#VALUE!</v>
      </c>
      <c r="F18" s="11" t="e">
        <f t="shared" si="2"/>
        <v>#VALUE!</v>
      </c>
      <c r="G18" s="11" t="e">
        <f t="shared" si="2"/>
        <v>#VALUE!</v>
      </c>
      <c r="H18" s="11" t="e">
        <f t="shared" si="2"/>
        <v>#VALUE!</v>
      </c>
      <c r="I18" s="11" t="e">
        <f t="shared" si="2"/>
        <v>#VALUE!</v>
      </c>
      <c r="J18" s="11" t="e">
        <f t="shared" si="2"/>
        <v>#VALUE!</v>
      </c>
      <c r="K18" s="11" t="e">
        <f t="shared" si="2"/>
        <v>#VALUE!</v>
      </c>
      <c r="L18" s="11" t="e">
        <f t="shared" si="2"/>
        <v>#VALUE!</v>
      </c>
      <c r="M18" s="11" t="e">
        <f t="shared" si="2"/>
        <v>#VALUE!</v>
      </c>
      <c r="N18" s="11" t="e">
        <f t="shared" si="2"/>
        <v>#VALUE!</v>
      </c>
      <c r="O18" s="11" t="e">
        <f t="shared" si="2"/>
        <v>#VALUE!</v>
      </c>
      <c r="P18" s="11" t="e">
        <f t="shared" si="2"/>
        <v>#VALUE!</v>
      </c>
      <c r="Q18" s="11" t="e">
        <f t="shared" si="2"/>
        <v>#VALUE!</v>
      </c>
      <c r="R18" s="11" t="e">
        <f t="shared" si="2"/>
        <v>#VALUE!</v>
      </c>
      <c r="S18" s="11" t="e">
        <f t="shared" si="2"/>
        <v>#VALUE!</v>
      </c>
      <c r="T18" s="11" t="e">
        <f t="shared" si="2"/>
        <v>#VALUE!</v>
      </c>
      <c r="U18" s="11" t="e">
        <f t="shared" si="2"/>
        <v>#VALUE!</v>
      </c>
      <c r="V18" s="11" t="e">
        <f t="shared" si="2"/>
        <v>#VALUE!</v>
      </c>
      <c r="W18" s="11" t="e">
        <f t="shared" si="2"/>
        <v>#VALUE!</v>
      </c>
      <c r="X18" s="11" t="e">
        <f t="shared" si="2"/>
        <v>#VALUE!</v>
      </c>
      <c r="Y18" s="11" t="e">
        <f t="shared" si="2"/>
        <v>#VALUE!</v>
      </c>
      <c r="Z18" s="11" t="e">
        <f t="shared" si="2"/>
        <v>#VALUE!</v>
      </c>
      <c r="AA18" s="11" t="e">
        <f t="shared" si="2"/>
        <v>#VALUE!</v>
      </c>
      <c r="AB18" s="11"/>
      <c r="AC18" s="11"/>
      <c r="AD18" s="11"/>
      <c r="AE18" s="11" t="e">
        <f t="shared" ref="AE18:AT18" si="3">(AE5-$C5)/$C5</f>
        <v>#VALUE!</v>
      </c>
      <c r="AF18" s="11" t="e">
        <f t="shared" si="3"/>
        <v>#VALUE!</v>
      </c>
      <c r="AG18" s="11" t="e">
        <f t="shared" si="3"/>
        <v>#VALUE!</v>
      </c>
      <c r="AH18" s="11" t="e">
        <f t="shared" si="3"/>
        <v>#VALUE!</v>
      </c>
      <c r="AI18" s="11" t="e">
        <f t="shared" si="3"/>
        <v>#VALUE!</v>
      </c>
      <c r="AJ18" s="11" t="e">
        <f t="shared" si="3"/>
        <v>#VALUE!</v>
      </c>
      <c r="AK18" s="11" t="e">
        <f t="shared" si="3"/>
        <v>#VALUE!</v>
      </c>
      <c r="AL18" s="11" t="e">
        <f t="shared" si="3"/>
        <v>#VALUE!</v>
      </c>
      <c r="AM18" s="11" t="e">
        <f t="shared" si="3"/>
        <v>#VALUE!</v>
      </c>
      <c r="AN18" s="11" t="e">
        <f t="shared" si="3"/>
        <v>#VALUE!</v>
      </c>
      <c r="AO18" s="11" t="e">
        <f t="shared" si="3"/>
        <v>#VALUE!</v>
      </c>
      <c r="AP18" s="11" t="e">
        <f t="shared" si="3"/>
        <v>#VALUE!</v>
      </c>
      <c r="AQ18" s="11" t="e">
        <f t="shared" si="3"/>
        <v>#VALUE!</v>
      </c>
      <c r="AR18" s="11" t="e">
        <f t="shared" si="3"/>
        <v>#VALUE!</v>
      </c>
      <c r="AS18" s="11" t="e">
        <f t="shared" si="3"/>
        <v>#VALUE!</v>
      </c>
      <c r="AT18" s="11" t="e">
        <f t="shared" si="3"/>
        <v>#VALUE!</v>
      </c>
      <c r="AU18" s="11"/>
    </row>
    <row r="19" spans="2:47" ht="12.75" x14ac:dyDescent="0.2">
      <c r="B19" s="12" t="s">
        <v>26</v>
      </c>
      <c r="C19" s="15">
        <v>0</v>
      </c>
      <c r="D19" s="11">
        <f t="shared" ref="D19:AA19" si="4">(D6-$C6)/$C6</f>
        <v>0</v>
      </c>
      <c r="E19" s="11">
        <f t="shared" si="4"/>
        <v>0</v>
      </c>
      <c r="F19" s="11" t="e">
        <f t="shared" si="4"/>
        <v>#VALUE!</v>
      </c>
      <c r="G19" s="11" t="e">
        <f t="shared" si="4"/>
        <v>#VALUE!</v>
      </c>
      <c r="H19" s="11">
        <f t="shared" si="4"/>
        <v>0</v>
      </c>
      <c r="I19" s="11">
        <f t="shared" si="4"/>
        <v>0</v>
      </c>
      <c r="J19" s="11">
        <f t="shared" si="4"/>
        <v>0</v>
      </c>
      <c r="K19" s="11">
        <f t="shared" si="4"/>
        <v>0</v>
      </c>
      <c r="L19" s="11">
        <f t="shared" si="4"/>
        <v>0</v>
      </c>
      <c r="M19" s="11">
        <f t="shared" si="4"/>
        <v>0</v>
      </c>
      <c r="N19" s="11">
        <f t="shared" si="4"/>
        <v>0</v>
      </c>
      <c r="O19" s="11">
        <f t="shared" si="4"/>
        <v>0</v>
      </c>
      <c r="P19" s="11">
        <f t="shared" si="4"/>
        <v>0</v>
      </c>
      <c r="Q19" s="11" t="e">
        <f t="shared" si="4"/>
        <v>#VALUE!</v>
      </c>
      <c r="R19" s="11">
        <f t="shared" si="4"/>
        <v>0</v>
      </c>
      <c r="S19" s="11">
        <f t="shared" si="4"/>
        <v>-0.1</v>
      </c>
      <c r="T19" s="11">
        <f t="shared" si="4"/>
        <v>0</v>
      </c>
      <c r="U19" s="11" t="e">
        <f t="shared" si="4"/>
        <v>#VALUE!</v>
      </c>
      <c r="V19" s="11">
        <f t="shared" si="4"/>
        <v>0</v>
      </c>
      <c r="W19" s="11">
        <f t="shared" si="4"/>
        <v>0</v>
      </c>
      <c r="X19" s="11">
        <f t="shared" si="4"/>
        <v>0</v>
      </c>
      <c r="Y19" s="11">
        <f t="shared" si="4"/>
        <v>0</v>
      </c>
      <c r="Z19" s="11">
        <f t="shared" si="4"/>
        <v>0</v>
      </c>
      <c r="AA19" s="11">
        <f t="shared" si="4"/>
        <v>0</v>
      </c>
      <c r="AB19" s="11"/>
      <c r="AC19" s="11"/>
      <c r="AD19" s="11"/>
      <c r="AE19" s="11">
        <f t="shared" ref="AE19:AT19" si="5">(AE6-$C6)/$C6</f>
        <v>0</v>
      </c>
      <c r="AF19" s="11">
        <f t="shared" si="5"/>
        <v>0</v>
      </c>
      <c r="AG19" s="11">
        <f t="shared" si="5"/>
        <v>0</v>
      </c>
      <c r="AH19" s="11">
        <f t="shared" si="5"/>
        <v>0</v>
      </c>
      <c r="AI19" s="11" t="e">
        <f t="shared" si="5"/>
        <v>#VALUE!</v>
      </c>
      <c r="AJ19" s="11" t="e">
        <f t="shared" si="5"/>
        <v>#VALUE!</v>
      </c>
      <c r="AK19" s="11">
        <f t="shared" si="5"/>
        <v>0</v>
      </c>
      <c r="AL19" s="11">
        <f t="shared" si="5"/>
        <v>0</v>
      </c>
      <c r="AM19" s="11">
        <f t="shared" si="5"/>
        <v>0</v>
      </c>
      <c r="AN19" s="11" t="e">
        <f t="shared" si="5"/>
        <v>#VALUE!</v>
      </c>
      <c r="AO19" s="11" t="e">
        <f t="shared" si="5"/>
        <v>#VALUE!</v>
      </c>
      <c r="AP19" s="11" t="e">
        <f t="shared" si="5"/>
        <v>#VALUE!</v>
      </c>
      <c r="AQ19" s="11" t="e">
        <f t="shared" si="5"/>
        <v>#VALUE!</v>
      </c>
      <c r="AR19" s="11" t="e">
        <f t="shared" si="5"/>
        <v>#VALUE!</v>
      </c>
      <c r="AS19" s="11" t="e">
        <f t="shared" si="5"/>
        <v>#VALUE!</v>
      </c>
      <c r="AT19" s="11" t="e">
        <f t="shared" si="5"/>
        <v>#VALUE!</v>
      </c>
      <c r="AU19" s="11"/>
    </row>
    <row r="20" spans="2:47" ht="12.75" x14ac:dyDescent="0.2">
      <c r="B20" s="12" t="s">
        <v>27</v>
      </c>
      <c r="C20" s="15">
        <v>0</v>
      </c>
      <c r="D20" s="11">
        <f t="shared" ref="D20:AA20" si="6">(D7-$C7)/$C7</f>
        <v>0</v>
      </c>
      <c r="E20" s="11">
        <f t="shared" si="6"/>
        <v>0</v>
      </c>
      <c r="F20" s="11" t="e">
        <f t="shared" si="6"/>
        <v>#VALUE!</v>
      </c>
      <c r="G20" s="11">
        <f t="shared" si="6"/>
        <v>0</v>
      </c>
      <c r="H20" s="11" t="e">
        <f t="shared" si="6"/>
        <v>#VALUE!</v>
      </c>
      <c r="I20" s="11">
        <f t="shared" si="6"/>
        <v>0</v>
      </c>
      <c r="J20" s="11">
        <f t="shared" si="6"/>
        <v>0</v>
      </c>
      <c r="K20" s="11">
        <f t="shared" si="6"/>
        <v>0</v>
      </c>
      <c r="L20" s="11">
        <f t="shared" si="6"/>
        <v>0</v>
      </c>
      <c r="M20" s="11">
        <f t="shared" si="6"/>
        <v>0</v>
      </c>
      <c r="N20" s="11">
        <f t="shared" si="6"/>
        <v>0</v>
      </c>
      <c r="O20" s="11">
        <f t="shared" si="6"/>
        <v>0</v>
      </c>
      <c r="P20" s="11">
        <f t="shared" si="6"/>
        <v>0</v>
      </c>
      <c r="Q20" s="11">
        <f t="shared" si="6"/>
        <v>0</v>
      </c>
      <c r="R20" s="11">
        <f t="shared" si="6"/>
        <v>0</v>
      </c>
      <c r="S20" s="11">
        <f t="shared" si="6"/>
        <v>0</v>
      </c>
      <c r="T20" s="11">
        <f t="shared" si="6"/>
        <v>0</v>
      </c>
      <c r="U20" s="11">
        <f t="shared" si="6"/>
        <v>0</v>
      </c>
      <c r="V20" s="11">
        <f t="shared" si="6"/>
        <v>0</v>
      </c>
      <c r="W20" s="11">
        <f t="shared" si="6"/>
        <v>0</v>
      </c>
      <c r="X20" s="11">
        <f t="shared" si="6"/>
        <v>0</v>
      </c>
      <c r="Y20" s="11">
        <f t="shared" si="6"/>
        <v>0</v>
      </c>
      <c r="Z20" s="11">
        <f t="shared" si="6"/>
        <v>0</v>
      </c>
      <c r="AA20" s="11">
        <f t="shared" si="6"/>
        <v>0</v>
      </c>
      <c r="AB20" s="11"/>
      <c r="AC20" s="11"/>
      <c r="AD20" s="11"/>
      <c r="AE20" s="11">
        <f t="shared" ref="AE20:AT20" si="7">(AE7-$C7)/$C7</f>
        <v>0</v>
      </c>
      <c r="AF20" s="11" t="e">
        <f t="shared" si="7"/>
        <v>#VALUE!</v>
      </c>
      <c r="AG20" s="11" t="e">
        <f t="shared" si="7"/>
        <v>#VALUE!</v>
      </c>
      <c r="AH20" s="11">
        <f t="shared" si="7"/>
        <v>0</v>
      </c>
      <c r="AI20" s="11">
        <f t="shared" si="7"/>
        <v>0</v>
      </c>
      <c r="AJ20" s="11">
        <f t="shared" si="7"/>
        <v>0</v>
      </c>
      <c r="AK20" s="11">
        <f t="shared" si="7"/>
        <v>0</v>
      </c>
      <c r="AL20" s="11" t="e">
        <f t="shared" si="7"/>
        <v>#VALUE!</v>
      </c>
      <c r="AM20" s="11">
        <f t="shared" si="7"/>
        <v>0</v>
      </c>
      <c r="AN20" s="11" t="e">
        <f t="shared" si="7"/>
        <v>#VALUE!</v>
      </c>
      <c r="AO20" s="11" t="e">
        <f t="shared" si="7"/>
        <v>#VALUE!</v>
      </c>
      <c r="AP20" s="11" t="e">
        <f t="shared" si="7"/>
        <v>#VALUE!</v>
      </c>
      <c r="AQ20" s="11" t="e">
        <f t="shared" si="7"/>
        <v>#VALUE!</v>
      </c>
      <c r="AR20" s="11" t="e">
        <f t="shared" si="7"/>
        <v>#VALUE!</v>
      </c>
      <c r="AS20" s="11" t="e">
        <f t="shared" si="7"/>
        <v>#VALUE!</v>
      </c>
      <c r="AT20" s="11" t="e">
        <f t="shared" si="7"/>
        <v>#VALUE!</v>
      </c>
      <c r="AU20" s="11"/>
    </row>
    <row r="21" spans="2:47" ht="12.75" x14ac:dyDescent="0.2">
      <c r="B21" s="12" t="s">
        <v>28</v>
      </c>
      <c r="C21" s="15">
        <v>0</v>
      </c>
      <c r="D21" s="11" t="e">
        <f t="shared" ref="D21:AA21" si="8">(D8-$C8)/$C8</f>
        <v>#VALUE!</v>
      </c>
      <c r="E21" s="11" t="e">
        <f t="shared" si="8"/>
        <v>#VALUE!</v>
      </c>
      <c r="F21" s="11" t="e">
        <f t="shared" si="8"/>
        <v>#VALUE!</v>
      </c>
      <c r="G21" s="11" t="e">
        <f t="shared" si="8"/>
        <v>#VALUE!</v>
      </c>
      <c r="H21" s="11" t="e">
        <f t="shared" si="8"/>
        <v>#VALUE!</v>
      </c>
      <c r="I21" s="11" t="e">
        <f t="shared" si="8"/>
        <v>#VALUE!</v>
      </c>
      <c r="J21" s="11" t="e">
        <f t="shared" si="8"/>
        <v>#VALUE!</v>
      </c>
      <c r="K21" s="11" t="e">
        <f t="shared" si="8"/>
        <v>#VALUE!</v>
      </c>
      <c r="L21" s="11" t="e">
        <f t="shared" si="8"/>
        <v>#VALUE!</v>
      </c>
      <c r="M21" s="11" t="e">
        <f t="shared" si="8"/>
        <v>#VALUE!</v>
      </c>
      <c r="N21" s="11" t="e">
        <f t="shared" si="8"/>
        <v>#VALUE!</v>
      </c>
      <c r="O21" s="11" t="e">
        <f t="shared" si="8"/>
        <v>#VALUE!</v>
      </c>
      <c r="P21" s="11" t="e">
        <f t="shared" si="8"/>
        <v>#VALUE!</v>
      </c>
      <c r="Q21" s="11" t="e">
        <f t="shared" si="8"/>
        <v>#VALUE!</v>
      </c>
      <c r="R21" s="11" t="e">
        <f t="shared" si="8"/>
        <v>#VALUE!</v>
      </c>
      <c r="S21" s="11" t="e">
        <f t="shared" si="8"/>
        <v>#VALUE!</v>
      </c>
      <c r="T21" s="11" t="e">
        <f t="shared" si="8"/>
        <v>#VALUE!</v>
      </c>
      <c r="U21" s="11" t="e">
        <f t="shared" si="8"/>
        <v>#VALUE!</v>
      </c>
      <c r="V21" s="11" t="e">
        <f t="shared" si="8"/>
        <v>#VALUE!</v>
      </c>
      <c r="W21" s="11" t="e">
        <f t="shared" si="8"/>
        <v>#VALUE!</v>
      </c>
      <c r="X21" s="11" t="e">
        <f t="shared" si="8"/>
        <v>#VALUE!</v>
      </c>
      <c r="Y21" s="11" t="e">
        <f t="shared" si="8"/>
        <v>#VALUE!</v>
      </c>
      <c r="Z21" s="11" t="e">
        <f t="shared" si="8"/>
        <v>#VALUE!</v>
      </c>
      <c r="AA21" s="11" t="e">
        <f t="shared" si="8"/>
        <v>#VALUE!</v>
      </c>
      <c r="AB21" s="11"/>
      <c r="AC21" s="11"/>
      <c r="AD21" s="11"/>
      <c r="AE21" s="11" t="e">
        <f t="shared" ref="AE21:AT21" si="9">(AE8-$C8)/$C8</f>
        <v>#VALUE!</v>
      </c>
      <c r="AF21" s="11" t="e">
        <f t="shared" si="9"/>
        <v>#VALUE!</v>
      </c>
      <c r="AG21" s="11" t="e">
        <f t="shared" si="9"/>
        <v>#VALUE!</v>
      </c>
      <c r="AH21" s="11" t="e">
        <f t="shared" si="9"/>
        <v>#VALUE!</v>
      </c>
      <c r="AI21" s="11" t="e">
        <f t="shared" si="9"/>
        <v>#VALUE!</v>
      </c>
      <c r="AJ21" s="11" t="e">
        <f t="shared" si="9"/>
        <v>#VALUE!</v>
      </c>
      <c r="AK21" s="11" t="e">
        <f t="shared" si="9"/>
        <v>#VALUE!</v>
      </c>
      <c r="AL21" s="11" t="e">
        <f t="shared" si="9"/>
        <v>#VALUE!</v>
      </c>
      <c r="AM21" s="11" t="e">
        <f t="shared" si="9"/>
        <v>#VALUE!</v>
      </c>
      <c r="AN21" s="11" t="e">
        <f t="shared" si="9"/>
        <v>#VALUE!</v>
      </c>
      <c r="AO21" s="11" t="e">
        <f t="shared" si="9"/>
        <v>#VALUE!</v>
      </c>
      <c r="AP21" s="11" t="e">
        <f t="shared" si="9"/>
        <v>#VALUE!</v>
      </c>
      <c r="AQ21" s="11" t="e">
        <f t="shared" si="9"/>
        <v>#VALUE!</v>
      </c>
      <c r="AR21" s="11" t="e">
        <f t="shared" si="9"/>
        <v>#VALUE!</v>
      </c>
      <c r="AS21" s="11" t="e">
        <f t="shared" si="9"/>
        <v>#VALUE!</v>
      </c>
      <c r="AT21" s="11" t="e">
        <f t="shared" si="9"/>
        <v>#VALUE!</v>
      </c>
      <c r="AU21" s="11"/>
    </row>
    <row r="22" spans="2:47" ht="12.75" x14ac:dyDescent="0.2">
      <c r="B22" s="12" t="s">
        <v>29</v>
      </c>
      <c r="C22" s="15">
        <v>0</v>
      </c>
      <c r="D22" s="11">
        <f t="shared" ref="D22:AA22" si="10">(D9-$C9)/$C9</f>
        <v>0</v>
      </c>
      <c r="E22" s="11">
        <f t="shared" si="10"/>
        <v>0</v>
      </c>
      <c r="F22" s="11">
        <f t="shared" si="10"/>
        <v>0</v>
      </c>
      <c r="G22" s="11">
        <f t="shared" si="10"/>
        <v>0</v>
      </c>
      <c r="H22" s="11">
        <f t="shared" si="10"/>
        <v>0</v>
      </c>
      <c r="I22" s="11" t="e">
        <f t="shared" si="10"/>
        <v>#VALUE!</v>
      </c>
      <c r="J22" s="11" t="e">
        <f t="shared" si="10"/>
        <v>#VALUE!</v>
      </c>
      <c r="K22" s="11" t="e">
        <f t="shared" si="10"/>
        <v>#VALUE!</v>
      </c>
      <c r="L22" s="11">
        <f t="shared" si="10"/>
        <v>0</v>
      </c>
      <c r="M22" s="11">
        <f t="shared" si="10"/>
        <v>0</v>
      </c>
      <c r="N22" s="11">
        <f t="shared" si="10"/>
        <v>0</v>
      </c>
      <c r="O22" s="11">
        <f t="shared" si="10"/>
        <v>0</v>
      </c>
      <c r="P22" s="11">
        <f t="shared" si="10"/>
        <v>0</v>
      </c>
      <c r="Q22" s="11" t="e">
        <f t="shared" si="10"/>
        <v>#VALUE!</v>
      </c>
      <c r="R22" s="11">
        <f t="shared" si="10"/>
        <v>0</v>
      </c>
      <c r="S22" s="11">
        <f t="shared" si="10"/>
        <v>0</v>
      </c>
      <c r="T22" s="11">
        <f t="shared" si="10"/>
        <v>0</v>
      </c>
      <c r="U22" s="11">
        <f t="shared" si="10"/>
        <v>0</v>
      </c>
      <c r="V22" s="11">
        <f t="shared" si="10"/>
        <v>0</v>
      </c>
      <c r="W22" s="11">
        <f t="shared" si="10"/>
        <v>0</v>
      </c>
      <c r="X22" s="11">
        <f t="shared" si="10"/>
        <v>0</v>
      </c>
      <c r="Y22" s="11">
        <f t="shared" si="10"/>
        <v>0</v>
      </c>
      <c r="Z22" s="11">
        <f t="shared" si="10"/>
        <v>0</v>
      </c>
      <c r="AA22" s="11">
        <f t="shared" si="10"/>
        <v>-0.1111111111111111</v>
      </c>
      <c r="AB22" s="11"/>
      <c r="AC22" s="11"/>
      <c r="AD22" s="11"/>
      <c r="AE22" s="11">
        <f t="shared" ref="AE22:AT22" si="11">(AE9-$C9)/$C9</f>
        <v>-0.1111111111111111</v>
      </c>
      <c r="AF22" s="11">
        <f t="shared" si="11"/>
        <v>-0.1111111111111111</v>
      </c>
      <c r="AG22" s="11">
        <f t="shared" si="11"/>
        <v>-0.1111111111111111</v>
      </c>
      <c r="AH22" s="11">
        <f t="shared" si="11"/>
        <v>-0.1111111111111111</v>
      </c>
      <c r="AI22" s="11">
        <f t="shared" si="11"/>
        <v>-0.1111111111111111</v>
      </c>
      <c r="AJ22" s="11">
        <f t="shared" si="11"/>
        <v>-0.1111111111111111</v>
      </c>
      <c r="AK22" s="11" t="e">
        <f t="shared" si="11"/>
        <v>#VALUE!</v>
      </c>
      <c r="AL22" s="11">
        <f t="shared" si="11"/>
        <v>-0.1111111111111111</v>
      </c>
      <c r="AM22" s="11">
        <f t="shared" si="11"/>
        <v>-0.1111111111111111</v>
      </c>
      <c r="AN22" s="11" t="e">
        <f t="shared" si="11"/>
        <v>#VALUE!</v>
      </c>
      <c r="AO22" s="11" t="e">
        <f t="shared" si="11"/>
        <v>#VALUE!</v>
      </c>
      <c r="AP22" s="11" t="e">
        <f t="shared" si="11"/>
        <v>#VALUE!</v>
      </c>
      <c r="AQ22" s="11" t="e">
        <f t="shared" si="11"/>
        <v>#VALUE!</v>
      </c>
      <c r="AR22" s="11" t="e">
        <f t="shared" si="11"/>
        <v>#VALUE!</v>
      </c>
      <c r="AS22" s="11" t="e">
        <f t="shared" si="11"/>
        <v>#VALUE!</v>
      </c>
      <c r="AT22" s="11" t="e">
        <f t="shared" si="11"/>
        <v>#VALUE!</v>
      </c>
      <c r="AU22" s="11"/>
    </row>
    <row r="23" spans="2:47" ht="12.75" x14ac:dyDescent="0.2">
      <c r="B23" s="12" t="s">
        <v>30</v>
      </c>
      <c r="C23" s="15">
        <v>0</v>
      </c>
      <c r="D23" s="11">
        <f t="shared" ref="D23:AA23" si="12">(D10-$C10)/$C10</f>
        <v>0</v>
      </c>
      <c r="E23" s="11">
        <f t="shared" si="12"/>
        <v>0</v>
      </c>
      <c r="F23" s="11" t="e">
        <f t="shared" si="12"/>
        <v>#VALUE!</v>
      </c>
      <c r="G23" s="11">
        <f t="shared" si="12"/>
        <v>0</v>
      </c>
      <c r="H23" s="11">
        <f t="shared" si="12"/>
        <v>0</v>
      </c>
      <c r="I23" s="11">
        <f t="shared" si="12"/>
        <v>0</v>
      </c>
      <c r="J23" s="11">
        <f t="shared" si="12"/>
        <v>0</v>
      </c>
      <c r="K23" s="11">
        <f t="shared" si="12"/>
        <v>0</v>
      </c>
      <c r="L23" s="11" t="e">
        <f t="shared" si="12"/>
        <v>#VALUE!</v>
      </c>
      <c r="M23" s="11">
        <f t="shared" si="12"/>
        <v>0</v>
      </c>
      <c r="N23" s="11" t="e">
        <f t="shared" si="12"/>
        <v>#VALUE!</v>
      </c>
      <c r="O23" s="11">
        <f t="shared" si="12"/>
        <v>0</v>
      </c>
      <c r="P23" s="11">
        <f t="shared" si="12"/>
        <v>0</v>
      </c>
      <c r="Q23" s="11">
        <f t="shared" si="12"/>
        <v>0</v>
      </c>
      <c r="R23" s="11">
        <f t="shared" si="12"/>
        <v>0</v>
      </c>
      <c r="S23" s="11">
        <f t="shared" si="12"/>
        <v>0</v>
      </c>
      <c r="T23" s="11">
        <f t="shared" si="12"/>
        <v>0</v>
      </c>
      <c r="U23" s="11" t="e">
        <f t="shared" si="12"/>
        <v>#VALUE!</v>
      </c>
      <c r="V23" s="11">
        <f t="shared" si="12"/>
        <v>0</v>
      </c>
      <c r="W23" s="11" t="e">
        <f t="shared" si="12"/>
        <v>#VALUE!</v>
      </c>
      <c r="X23" s="11">
        <f t="shared" si="12"/>
        <v>0</v>
      </c>
      <c r="Y23" s="11">
        <f t="shared" si="12"/>
        <v>0</v>
      </c>
      <c r="Z23" s="11" t="e">
        <f t="shared" si="12"/>
        <v>#VALUE!</v>
      </c>
      <c r="AA23" s="11">
        <f t="shared" si="12"/>
        <v>0.1111111111111111</v>
      </c>
      <c r="AB23" s="11"/>
      <c r="AC23" s="11"/>
      <c r="AD23" s="11"/>
      <c r="AE23" s="11">
        <f t="shared" ref="AE23:AT23" si="13">(AE10-$C10)/$C10</f>
        <v>0.1111111111111111</v>
      </c>
      <c r="AF23" s="11" t="e">
        <f t="shared" si="13"/>
        <v>#VALUE!</v>
      </c>
      <c r="AG23" s="11" t="e">
        <f t="shared" si="13"/>
        <v>#VALUE!</v>
      </c>
      <c r="AH23" s="11">
        <f t="shared" si="13"/>
        <v>0.1111111111111111</v>
      </c>
      <c r="AI23" s="11">
        <f t="shared" si="13"/>
        <v>0.1111111111111111</v>
      </c>
      <c r="AJ23" s="11">
        <f t="shared" si="13"/>
        <v>0.1111111111111111</v>
      </c>
      <c r="AK23" s="11">
        <f t="shared" si="13"/>
        <v>0.1111111111111111</v>
      </c>
      <c r="AL23" s="11">
        <f t="shared" si="13"/>
        <v>0.1111111111111111</v>
      </c>
      <c r="AM23" s="11">
        <f t="shared" si="13"/>
        <v>0.1111111111111111</v>
      </c>
      <c r="AN23" s="11" t="e">
        <f t="shared" si="13"/>
        <v>#VALUE!</v>
      </c>
      <c r="AO23" s="11" t="e">
        <f t="shared" si="13"/>
        <v>#VALUE!</v>
      </c>
      <c r="AP23" s="11" t="e">
        <f t="shared" si="13"/>
        <v>#VALUE!</v>
      </c>
      <c r="AQ23" s="11" t="e">
        <f t="shared" si="13"/>
        <v>#VALUE!</v>
      </c>
      <c r="AR23" s="11" t="e">
        <f t="shared" si="13"/>
        <v>#VALUE!</v>
      </c>
      <c r="AS23" s="11" t="e">
        <f t="shared" si="13"/>
        <v>#VALUE!</v>
      </c>
      <c r="AT23" s="11" t="e">
        <f t="shared" si="13"/>
        <v>#VALUE!</v>
      </c>
      <c r="AU23" s="11"/>
    </row>
    <row r="24" spans="2:47" ht="12.75" x14ac:dyDescent="0.2">
      <c r="B24" s="12" t="s">
        <v>31</v>
      </c>
      <c r="C24" s="15">
        <v>0</v>
      </c>
      <c r="D24" s="11">
        <f t="shared" ref="D24:AA24" si="14">(D11-$C11)/$C11</f>
        <v>0.125</v>
      </c>
      <c r="E24" s="11">
        <f t="shared" si="14"/>
        <v>0.125</v>
      </c>
      <c r="F24" s="11">
        <f t="shared" si="14"/>
        <v>0.125</v>
      </c>
      <c r="G24" s="11">
        <f t="shared" si="14"/>
        <v>0.125</v>
      </c>
      <c r="H24" s="11">
        <f t="shared" si="14"/>
        <v>0.125</v>
      </c>
      <c r="I24" s="11">
        <f t="shared" si="14"/>
        <v>0.125</v>
      </c>
      <c r="J24" s="11">
        <f t="shared" si="14"/>
        <v>0.125</v>
      </c>
      <c r="K24" s="11">
        <f t="shared" si="14"/>
        <v>0.125</v>
      </c>
      <c r="L24" s="11">
        <f t="shared" si="14"/>
        <v>0.125</v>
      </c>
      <c r="M24" s="11" t="e">
        <f t="shared" si="14"/>
        <v>#VALUE!</v>
      </c>
      <c r="N24" s="11">
        <f t="shared" si="14"/>
        <v>0.125</v>
      </c>
      <c r="O24" s="11">
        <f t="shared" si="14"/>
        <v>0.125</v>
      </c>
      <c r="P24" s="11">
        <f t="shared" si="14"/>
        <v>0.125</v>
      </c>
      <c r="Q24" s="11">
        <f t="shared" si="14"/>
        <v>0.125</v>
      </c>
      <c r="R24" s="11">
        <f t="shared" si="14"/>
        <v>0.125</v>
      </c>
      <c r="S24" s="11">
        <f t="shared" si="14"/>
        <v>0.125</v>
      </c>
      <c r="T24" s="11" t="e">
        <f t="shared" si="14"/>
        <v>#VALUE!</v>
      </c>
      <c r="U24" s="11">
        <f t="shared" si="14"/>
        <v>0</v>
      </c>
      <c r="V24" s="11">
        <f t="shared" si="14"/>
        <v>0</v>
      </c>
      <c r="W24" s="11">
        <f t="shared" si="14"/>
        <v>0</v>
      </c>
      <c r="X24" s="11">
        <f t="shared" si="14"/>
        <v>0</v>
      </c>
      <c r="Y24" s="11">
        <f t="shared" si="14"/>
        <v>0</v>
      </c>
      <c r="Z24" s="11" t="e">
        <f t="shared" si="14"/>
        <v>#VALUE!</v>
      </c>
      <c r="AA24" s="11">
        <f t="shared" si="14"/>
        <v>0.125</v>
      </c>
      <c r="AB24" s="11"/>
      <c r="AC24" s="11"/>
      <c r="AD24" s="11"/>
      <c r="AE24" s="11">
        <f t="shared" ref="AE24:AT24" si="15">(AE11-$C11)/$C11</f>
        <v>0.125</v>
      </c>
      <c r="AF24" s="11">
        <f t="shared" si="15"/>
        <v>0.125</v>
      </c>
      <c r="AG24" s="11">
        <f t="shared" si="15"/>
        <v>0.125</v>
      </c>
      <c r="AH24" s="11">
        <f t="shared" si="15"/>
        <v>0.125</v>
      </c>
      <c r="AI24" s="11">
        <f t="shared" si="15"/>
        <v>0.125</v>
      </c>
      <c r="AJ24" s="11">
        <f t="shared" si="15"/>
        <v>0.125</v>
      </c>
      <c r="AK24" s="11">
        <f t="shared" si="15"/>
        <v>0.125</v>
      </c>
      <c r="AL24" s="11">
        <f t="shared" si="15"/>
        <v>0.125</v>
      </c>
      <c r="AM24" s="11" t="e">
        <f t="shared" si="15"/>
        <v>#VALUE!</v>
      </c>
      <c r="AN24" s="11" t="e">
        <f t="shared" si="15"/>
        <v>#VALUE!</v>
      </c>
      <c r="AO24" s="11" t="e">
        <f t="shared" si="15"/>
        <v>#VALUE!</v>
      </c>
      <c r="AP24" s="11" t="e">
        <f t="shared" si="15"/>
        <v>#VALUE!</v>
      </c>
      <c r="AQ24" s="11" t="e">
        <f t="shared" si="15"/>
        <v>#VALUE!</v>
      </c>
      <c r="AR24" s="11" t="e">
        <f t="shared" si="15"/>
        <v>#VALUE!</v>
      </c>
      <c r="AS24" s="11" t="e">
        <f t="shared" si="15"/>
        <v>#VALUE!</v>
      </c>
      <c r="AT24" s="11" t="e">
        <f t="shared" si="15"/>
        <v>#VALUE!</v>
      </c>
      <c r="AU24" s="11"/>
    </row>
    <row r="25" spans="2:47" ht="12.75" x14ac:dyDescent="0.2">
      <c r="B25" s="12" t="s">
        <v>32</v>
      </c>
      <c r="C25" s="15">
        <v>0</v>
      </c>
      <c r="D25" s="11" t="e">
        <f t="shared" ref="D25:AA25" si="16">(D12-$C12)/$C12</f>
        <v>#VALUE!</v>
      </c>
      <c r="E25" s="11" t="e">
        <f t="shared" si="16"/>
        <v>#VALUE!</v>
      </c>
      <c r="F25" s="11" t="e">
        <f t="shared" si="16"/>
        <v>#VALUE!</v>
      </c>
      <c r="G25" s="11" t="e">
        <f t="shared" si="16"/>
        <v>#VALUE!</v>
      </c>
      <c r="H25" s="11" t="e">
        <f t="shared" si="16"/>
        <v>#VALUE!</v>
      </c>
      <c r="I25" s="11" t="e">
        <f t="shared" si="16"/>
        <v>#VALUE!</v>
      </c>
      <c r="J25" s="11" t="e">
        <f t="shared" si="16"/>
        <v>#VALUE!</v>
      </c>
      <c r="K25" s="11" t="e">
        <f t="shared" si="16"/>
        <v>#VALUE!</v>
      </c>
      <c r="L25" s="11" t="e">
        <f t="shared" si="16"/>
        <v>#VALUE!</v>
      </c>
      <c r="M25" s="11" t="e">
        <f t="shared" si="16"/>
        <v>#VALUE!</v>
      </c>
      <c r="N25" s="11" t="e">
        <f t="shared" si="16"/>
        <v>#VALUE!</v>
      </c>
      <c r="O25" s="11" t="e">
        <f t="shared" si="16"/>
        <v>#VALUE!</v>
      </c>
      <c r="P25" s="11" t="e">
        <f t="shared" si="16"/>
        <v>#VALUE!</v>
      </c>
      <c r="Q25" s="11" t="e">
        <f t="shared" si="16"/>
        <v>#VALUE!</v>
      </c>
      <c r="R25" s="11" t="e">
        <f t="shared" si="16"/>
        <v>#VALUE!</v>
      </c>
      <c r="S25" s="11" t="e">
        <f t="shared" si="16"/>
        <v>#VALUE!</v>
      </c>
      <c r="T25" s="11" t="e">
        <f t="shared" si="16"/>
        <v>#VALUE!</v>
      </c>
      <c r="U25" s="11" t="e">
        <f t="shared" si="16"/>
        <v>#VALUE!</v>
      </c>
      <c r="V25" s="11" t="e">
        <f t="shared" si="16"/>
        <v>#VALUE!</v>
      </c>
      <c r="W25" s="11" t="e">
        <f t="shared" si="16"/>
        <v>#VALUE!</v>
      </c>
      <c r="X25" s="11" t="e">
        <f t="shared" si="16"/>
        <v>#VALUE!</v>
      </c>
      <c r="Y25" s="11" t="e">
        <f t="shared" si="16"/>
        <v>#VALUE!</v>
      </c>
      <c r="Z25" s="11" t="e">
        <f t="shared" si="16"/>
        <v>#VALUE!</v>
      </c>
      <c r="AA25" s="11" t="e">
        <f t="shared" si="16"/>
        <v>#VALUE!</v>
      </c>
      <c r="AB25" s="11"/>
      <c r="AC25" s="11"/>
      <c r="AD25" s="11"/>
      <c r="AE25" s="11" t="e">
        <f t="shared" ref="AE25:AT25" si="17">(AE12-$C12)/$C12</f>
        <v>#VALUE!</v>
      </c>
      <c r="AF25" s="11" t="e">
        <f t="shared" si="17"/>
        <v>#VALUE!</v>
      </c>
      <c r="AG25" s="11" t="e">
        <f t="shared" si="17"/>
        <v>#VALUE!</v>
      </c>
      <c r="AH25" s="11" t="e">
        <f t="shared" si="17"/>
        <v>#VALUE!</v>
      </c>
      <c r="AI25" s="11" t="e">
        <f t="shared" si="17"/>
        <v>#VALUE!</v>
      </c>
      <c r="AJ25" s="11" t="e">
        <f t="shared" si="17"/>
        <v>#VALUE!</v>
      </c>
      <c r="AK25" s="11" t="e">
        <f t="shared" si="17"/>
        <v>#VALUE!</v>
      </c>
      <c r="AL25" s="11" t="e">
        <f t="shared" si="17"/>
        <v>#VALUE!</v>
      </c>
      <c r="AM25" s="11" t="e">
        <f t="shared" si="17"/>
        <v>#VALUE!</v>
      </c>
      <c r="AN25" s="11" t="e">
        <f t="shared" si="17"/>
        <v>#VALUE!</v>
      </c>
      <c r="AO25" s="11" t="e">
        <f t="shared" si="17"/>
        <v>#VALUE!</v>
      </c>
      <c r="AP25" s="11" t="e">
        <f t="shared" si="17"/>
        <v>#VALUE!</v>
      </c>
      <c r="AQ25" s="11" t="e">
        <f t="shared" si="17"/>
        <v>#VALUE!</v>
      </c>
      <c r="AR25" s="11" t="e">
        <f t="shared" si="17"/>
        <v>#VALUE!</v>
      </c>
      <c r="AS25" s="11" t="e">
        <f t="shared" si="17"/>
        <v>#VALUE!</v>
      </c>
      <c r="AT25" s="11" t="e">
        <f t="shared" si="17"/>
        <v>#VALUE!</v>
      </c>
      <c r="AU25" s="11"/>
    </row>
    <row r="26" spans="2:47" ht="12.75" x14ac:dyDescent="0.2">
      <c r="B26" s="1" t="s">
        <v>100</v>
      </c>
      <c r="C26" s="15">
        <v>0</v>
      </c>
      <c r="D26" s="11" t="e">
        <f t="shared" ref="D26:AA26" si="18">(D13-$C13)/$C13</f>
        <v>#VALUE!</v>
      </c>
      <c r="E26" s="11" t="e">
        <f t="shared" si="18"/>
        <v>#VALUE!</v>
      </c>
      <c r="F26" s="11" t="e">
        <f t="shared" si="18"/>
        <v>#VALUE!</v>
      </c>
      <c r="G26" s="11" t="e">
        <f t="shared" si="18"/>
        <v>#VALUE!</v>
      </c>
      <c r="H26" s="11" t="e">
        <f t="shared" si="18"/>
        <v>#VALUE!</v>
      </c>
      <c r="I26" s="11" t="e">
        <f t="shared" si="18"/>
        <v>#VALUE!</v>
      </c>
      <c r="J26" s="11" t="e">
        <f t="shared" si="18"/>
        <v>#VALUE!</v>
      </c>
      <c r="K26" s="11" t="e">
        <f t="shared" si="18"/>
        <v>#VALUE!</v>
      </c>
      <c r="L26" s="11" t="e">
        <f t="shared" si="18"/>
        <v>#VALUE!</v>
      </c>
      <c r="M26" s="11" t="e">
        <f t="shared" si="18"/>
        <v>#VALUE!</v>
      </c>
      <c r="N26" s="11" t="e">
        <f t="shared" si="18"/>
        <v>#VALUE!</v>
      </c>
      <c r="O26" s="11" t="e">
        <f t="shared" si="18"/>
        <v>#VALUE!</v>
      </c>
      <c r="P26" s="11" t="e">
        <f t="shared" si="18"/>
        <v>#VALUE!</v>
      </c>
      <c r="Q26" s="11" t="e">
        <f t="shared" si="18"/>
        <v>#VALUE!</v>
      </c>
      <c r="R26" s="11" t="e">
        <f t="shared" si="18"/>
        <v>#VALUE!</v>
      </c>
      <c r="S26" s="11" t="e">
        <f t="shared" si="18"/>
        <v>#VALUE!</v>
      </c>
      <c r="T26" s="11" t="e">
        <f t="shared" si="18"/>
        <v>#VALUE!</v>
      </c>
      <c r="U26" s="11" t="e">
        <f t="shared" si="18"/>
        <v>#VALUE!</v>
      </c>
      <c r="V26" s="11" t="e">
        <f t="shared" si="18"/>
        <v>#VALUE!</v>
      </c>
      <c r="W26" s="11" t="e">
        <f t="shared" si="18"/>
        <v>#VALUE!</v>
      </c>
      <c r="X26" s="11" t="e">
        <f t="shared" si="18"/>
        <v>#VALUE!</v>
      </c>
      <c r="Y26" s="11" t="e">
        <f t="shared" si="18"/>
        <v>#VALUE!</v>
      </c>
      <c r="Z26" s="11" t="e">
        <f t="shared" si="18"/>
        <v>#VALUE!</v>
      </c>
      <c r="AA26" s="11" t="e">
        <f t="shared" si="18"/>
        <v>#VALUE!</v>
      </c>
      <c r="AB26" s="11"/>
      <c r="AC26" s="11"/>
      <c r="AD26" s="11"/>
      <c r="AE26" s="11" t="e">
        <f t="shared" ref="AE26:AT26" si="19">(AE13-$C13)/$C13</f>
        <v>#VALUE!</v>
      </c>
      <c r="AF26" s="11" t="e">
        <f t="shared" si="19"/>
        <v>#VALUE!</v>
      </c>
      <c r="AG26" s="11" t="e">
        <f t="shared" si="19"/>
        <v>#VALUE!</v>
      </c>
      <c r="AH26" s="11" t="e">
        <f t="shared" si="19"/>
        <v>#VALUE!</v>
      </c>
      <c r="AI26" s="11" t="e">
        <f t="shared" si="19"/>
        <v>#VALUE!</v>
      </c>
      <c r="AJ26" s="11" t="e">
        <f t="shared" si="19"/>
        <v>#VALUE!</v>
      </c>
      <c r="AK26" s="11" t="e">
        <f t="shared" si="19"/>
        <v>#VALUE!</v>
      </c>
      <c r="AL26" s="11" t="e">
        <f t="shared" si="19"/>
        <v>#VALUE!</v>
      </c>
      <c r="AM26" s="11" t="e">
        <f t="shared" si="19"/>
        <v>#VALUE!</v>
      </c>
      <c r="AN26" s="11" t="e">
        <f t="shared" si="19"/>
        <v>#VALUE!</v>
      </c>
      <c r="AO26" s="11" t="e">
        <f t="shared" si="19"/>
        <v>#VALUE!</v>
      </c>
      <c r="AP26" s="11" t="e">
        <f t="shared" si="19"/>
        <v>#VALUE!</v>
      </c>
      <c r="AQ26" s="11" t="e">
        <f t="shared" si="19"/>
        <v>#VALUE!</v>
      </c>
      <c r="AR26" s="11" t="e">
        <f t="shared" si="19"/>
        <v>#VALUE!</v>
      </c>
      <c r="AS26" s="11" t="e">
        <f t="shared" si="19"/>
        <v>#VALUE!</v>
      </c>
      <c r="AT26" s="11" t="e">
        <f t="shared" si="19"/>
        <v>#VALUE!</v>
      </c>
      <c r="AU26" s="11"/>
    </row>
    <row r="33" spans="25:26" ht="12.75" x14ac:dyDescent="0.2">
      <c r="Y33" s="11"/>
      <c r="Z33" s="11"/>
    </row>
    <row r="34" spans="25:26" ht="12.75" x14ac:dyDescent="0.2">
      <c r="Y34" s="11"/>
      <c r="Z34" s="11"/>
    </row>
    <row r="35" spans="25:26" ht="12.75" x14ac:dyDescent="0.2">
      <c r="Y35" s="11"/>
      <c r="Z35" s="11"/>
    </row>
    <row r="36" spans="25:26" ht="12.75" x14ac:dyDescent="0.2">
      <c r="Y36" s="11"/>
      <c r="Z36" s="11"/>
    </row>
    <row r="37" spans="25:26" ht="12.75" x14ac:dyDescent="0.2">
      <c r="Y37" s="11"/>
      <c r="Z37" s="11"/>
    </row>
    <row r="38" spans="25:26" ht="12.75" x14ac:dyDescent="0.2">
      <c r="Y38" s="11"/>
      <c r="Z38" s="11"/>
    </row>
    <row r="39" spans="25:26" ht="12.75" x14ac:dyDescent="0.2">
      <c r="Y39" s="11"/>
      <c r="Z39" s="11"/>
    </row>
    <row r="40" spans="25:26" ht="12.75" x14ac:dyDescent="0.2">
      <c r="Y40" s="11"/>
      <c r="Z40" s="11"/>
    </row>
    <row r="65" spans="3:13" ht="22.5" customHeight="1" x14ac:dyDescent="0.2">
      <c r="C65" s="70" t="s">
        <v>101</v>
      </c>
      <c r="D65" s="70" t="s">
        <v>102</v>
      </c>
      <c r="E65" s="71" t="s">
        <v>103</v>
      </c>
      <c r="F65" s="71" t="s">
        <v>104</v>
      </c>
      <c r="G65" s="71" t="s">
        <v>105</v>
      </c>
      <c r="H65" s="71" t="s">
        <v>106</v>
      </c>
    </row>
    <row r="66" spans="3:13" ht="22.5" customHeight="1" x14ac:dyDescent="0.2">
      <c r="C66" s="72" t="s">
        <v>107</v>
      </c>
      <c r="D66" s="73" t="str">
        <f>$B$7</f>
        <v>Jávor Tamás</v>
      </c>
      <c r="E66" s="74" t="str">
        <f>$C$7</f>
        <v>11</v>
      </c>
      <c r="F66" s="74" t="str">
        <f>$AA$7</f>
        <v>11</v>
      </c>
      <c r="G66" s="75">
        <f>$AA$20</f>
        <v>0</v>
      </c>
      <c r="H66" s="74">
        <f>$AA$7-$C$7</f>
        <v>0</v>
      </c>
      <c r="J66" s="25"/>
      <c r="M66" s="25"/>
    </row>
    <row r="67" spans="3:13" ht="22.5" customHeight="1" x14ac:dyDescent="0.2">
      <c r="C67" s="72" t="s">
        <v>108</v>
      </c>
      <c r="D67" s="76" t="str">
        <f>$B$22</f>
        <v>Molnár György</v>
      </c>
      <c r="E67" s="74" t="str">
        <f>$C$9</f>
        <v>9</v>
      </c>
      <c r="F67" s="74" t="str">
        <f>$AA$9</f>
        <v>8</v>
      </c>
      <c r="G67" s="75">
        <f>$AA$22</f>
        <v>-0.1111111111111111</v>
      </c>
      <c r="H67" s="74">
        <f>$AA$9-$C$9</f>
        <v>-1</v>
      </c>
    </row>
    <row r="68" spans="3:13" ht="22.5" customHeight="1" x14ac:dyDescent="0.2">
      <c r="C68" s="72" t="s">
        <v>109</v>
      </c>
      <c r="D68" s="76" t="str">
        <f>$B$6</f>
        <v>Galgóczy Ádám</v>
      </c>
      <c r="E68" s="74" t="str">
        <f>$C$6</f>
        <v>10</v>
      </c>
      <c r="F68" s="74" t="str">
        <f>$AA$6</f>
        <v>10</v>
      </c>
      <c r="G68" s="75">
        <f>$AA$19</f>
        <v>0</v>
      </c>
      <c r="H68" s="74">
        <f>$AA$6-$C$6</f>
        <v>0</v>
      </c>
    </row>
    <row r="69" spans="3:13" ht="22.5" customHeight="1" x14ac:dyDescent="0.2">
      <c r="C69" s="72" t="s">
        <v>110</v>
      </c>
      <c r="D69" s="76" t="str">
        <f>$B$12</f>
        <v>Várnoki Ádám</v>
      </c>
      <c r="E69" s="74" t="str">
        <f>$C$12</f>
        <v/>
      </c>
      <c r="F69" s="74" t="str">
        <f>$AA$12</f>
        <v>10</v>
      </c>
      <c r="G69" s="75" t="e">
        <f>$AA$25</f>
        <v>#VALUE!</v>
      </c>
      <c r="H69" s="74" t="e">
        <f>$AA$12-$C$12</f>
        <v>#VALUE!</v>
      </c>
    </row>
    <row r="70" spans="3:13" ht="22.5" customHeight="1" x14ac:dyDescent="0.2">
      <c r="C70" s="72" t="s">
        <v>111</v>
      </c>
      <c r="D70" s="76" t="str">
        <f>$B$21</f>
        <v>Krekuska Gábor</v>
      </c>
      <c r="E70" s="74" t="e">
        <f>$C$8</f>
        <v>#VALUE!</v>
      </c>
      <c r="F70" s="74" t="str">
        <f>$AA$8</f>
        <v>8</v>
      </c>
      <c r="G70" s="75" t="e">
        <f>$AA$21</f>
        <v>#VALUE!</v>
      </c>
      <c r="H70" s="74" t="e">
        <f>$AA$8-$C$8</f>
        <v>#VALUE!</v>
      </c>
    </row>
    <row r="71" spans="3:13" ht="22.5" customHeight="1" x14ac:dyDescent="0.2">
      <c r="C71" s="72" t="s">
        <v>112</v>
      </c>
      <c r="D71" s="72" t="str">
        <f>$B$13</f>
        <v>Szikora István</v>
      </c>
      <c r="E71" s="74" t="str">
        <f>$C$13</f>
        <v/>
      </c>
      <c r="F71" s="74" t="str">
        <f>$AA$13</f>
        <v>10</v>
      </c>
      <c r="G71" s="75" t="e">
        <f>$AA$26</f>
        <v>#VALUE!</v>
      </c>
      <c r="H71" s="74" t="e">
        <f>$AA$13-$C$13</f>
        <v>#VALUE!</v>
      </c>
    </row>
    <row r="72" spans="3:13" ht="22.5" customHeight="1" x14ac:dyDescent="0.2">
      <c r="C72" s="72" t="s">
        <v>113</v>
      </c>
      <c r="D72" s="76" t="str">
        <f>$B$5</f>
        <v>Barcsik Kristóf</v>
      </c>
      <c r="E72" s="74" t="str">
        <f>$C$5</f>
        <v>ű</v>
      </c>
      <c r="F72" s="74" t="str">
        <f>$AA$5</f>
        <v>11</v>
      </c>
      <c r="G72" s="75" t="e">
        <f>$AA$18</f>
        <v>#VALUE!</v>
      </c>
      <c r="H72" s="74" t="e">
        <f>$AA$5-$C$5</f>
        <v>#VALUE!</v>
      </c>
    </row>
    <row r="73" spans="3:13" ht="22.5" customHeight="1" x14ac:dyDescent="0.2">
      <c r="C73" s="72" t="s">
        <v>114</v>
      </c>
      <c r="D73" s="76" t="str">
        <f>$B$11</f>
        <v>Vaspál Gergő</v>
      </c>
      <c r="E73" s="74" t="str">
        <f>$C$11</f>
        <v>8</v>
      </c>
      <c r="F73" s="74" t="str">
        <f>$AA$11</f>
        <v>9</v>
      </c>
      <c r="G73" s="75">
        <f>$AA$24</f>
        <v>0.125</v>
      </c>
      <c r="H73" s="74">
        <f>$AA$11-$C$11</f>
        <v>1</v>
      </c>
    </row>
    <row r="74" spans="3:13" ht="22.5" customHeight="1" x14ac:dyDescent="0.2">
      <c r="C74" s="72" t="s">
        <v>115</v>
      </c>
      <c r="D74" s="76" t="str">
        <f>$B$10</f>
        <v>Varga Szabolcs</v>
      </c>
      <c r="E74" s="74" t="str">
        <f>$C$10</f>
        <v>9</v>
      </c>
      <c r="F74" s="74" t="str">
        <f>$AA$10</f>
        <v>10</v>
      </c>
      <c r="G74" s="75">
        <f>$AA$23</f>
        <v>0.1111111111111111</v>
      </c>
      <c r="H74" s="74">
        <f>$AA$10-$C$10</f>
        <v>1</v>
      </c>
    </row>
    <row r="75" spans="3:13" ht="22.5" customHeight="1" x14ac:dyDescent="0.2">
      <c r="H75" s="74"/>
    </row>
    <row r="76" spans="3:13" ht="22.5" customHeight="1" x14ac:dyDescent="0.2">
      <c r="D76" s="72" t="s">
        <v>116</v>
      </c>
      <c r="H76" s="74" t="e">
        <f>SUM(H66:H74)</f>
        <v>#VALUE!</v>
      </c>
    </row>
    <row r="77" spans="3:13" ht="22.5" customHeight="1" x14ac:dyDescent="0.2">
      <c r="D77" s="72" t="s">
        <v>117</v>
      </c>
      <c r="G77" s="77" t="e">
        <f>SUM(G66:G74)/9</f>
        <v>#VALUE!</v>
      </c>
      <c r="H77" s="74" t="e">
        <f>H76/9</f>
        <v>#VALUE!</v>
      </c>
    </row>
    <row r="81" spans="1:8" ht="12.75" x14ac:dyDescent="0.2">
      <c r="B81" s="105" t="s">
        <v>118</v>
      </c>
      <c r="C81" s="106"/>
      <c r="D81" s="31" t="s">
        <v>119</v>
      </c>
      <c r="E81" s="31" t="s">
        <v>120</v>
      </c>
      <c r="F81" s="78"/>
      <c r="G81" s="31" t="s">
        <v>121</v>
      </c>
      <c r="H81" s="79" t="s">
        <v>98</v>
      </c>
    </row>
    <row r="82" spans="1:8" ht="12.75" x14ac:dyDescent="0.2">
      <c r="A82" s="1">
        <v>9</v>
      </c>
      <c r="B82" s="80" t="s">
        <v>107</v>
      </c>
      <c r="C82" s="81" t="str">
        <f t="shared" ref="C82:D82" si="20">B9</f>
        <v>Molnár György</v>
      </c>
      <c r="D82" s="82" t="str">
        <f t="shared" si="20"/>
        <v>9</v>
      </c>
      <c r="E82" s="82" t="e">
        <f>AT9</f>
        <v>#VALUE!</v>
      </c>
      <c r="F82" s="81"/>
      <c r="G82" s="83" t="e">
        <f>AT22</f>
        <v>#VALUE!</v>
      </c>
      <c r="H82" s="84" t="e">
        <f>AU9</f>
        <v>#VALUE!</v>
      </c>
    </row>
    <row r="83" spans="1:8" ht="12.75" x14ac:dyDescent="0.2">
      <c r="A83" s="1">
        <v>6</v>
      </c>
      <c r="B83" s="85" t="s">
        <v>108</v>
      </c>
      <c r="C83" s="81" t="str">
        <f t="shared" ref="C83:D83" si="21">B6</f>
        <v>Galgóczy Ádám</v>
      </c>
      <c r="D83" s="82" t="str">
        <f t="shared" si="21"/>
        <v>10</v>
      </c>
      <c r="E83" s="82" t="e">
        <f>AT6</f>
        <v>#VALUE!</v>
      </c>
      <c r="F83" s="81"/>
      <c r="G83" s="83" t="e">
        <f>AT19</f>
        <v>#VALUE!</v>
      </c>
      <c r="H83" s="84" t="e">
        <f>AU6</f>
        <v>#VALUE!</v>
      </c>
    </row>
    <row r="84" spans="1:8" ht="12.75" x14ac:dyDescent="0.2">
      <c r="A84" s="1">
        <v>8</v>
      </c>
      <c r="B84" s="85" t="s">
        <v>109</v>
      </c>
      <c r="C84" s="81" t="str">
        <f t="shared" ref="C84:D84" si="22">B8</f>
        <v>Krekuska Gábor</v>
      </c>
      <c r="D84" s="82" t="e">
        <f t="shared" si="22"/>
        <v>#VALUE!</v>
      </c>
      <c r="E84" s="82" t="e">
        <f>AT8</f>
        <v>#VALUE!</v>
      </c>
      <c r="F84" s="81"/>
      <c r="G84" s="83" t="e">
        <f>AT21</f>
        <v>#VALUE!</v>
      </c>
      <c r="H84" s="84" t="e">
        <f>AU8</f>
        <v>#VALUE!</v>
      </c>
    </row>
    <row r="85" spans="1:8" ht="12.75" x14ac:dyDescent="0.2">
      <c r="A85" s="1">
        <v>7</v>
      </c>
      <c r="B85" s="85" t="s">
        <v>110</v>
      </c>
      <c r="C85" s="81" t="str">
        <f t="shared" ref="C85:D85" si="23">B7</f>
        <v>Jávor Tamás</v>
      </c>
      <c r="D85" s="82" t="str">
        <f t="shared" si="23"/>
        <v>11</v>
      </c>
      <c r="E85" s="82" t="e">
        <f>AT7</f>
        <v>#VALUE!</v>
      </c>
      <c r="F85" s="81"/>
      <c r="G85" s="83" t="e">
        <f>AT20</f>
        <v>#VALUE!</v>
      </c>
      <c r="H85" s="84" t="e">
        <f>AU7</f>
        <v>#VALUE!</v>
      </c>
    </row>
    <row r="86" spans="1:8" ht="12.75" x14ac:dyDescent="0.2">
      <c r="A86" s="1">
        <v>13</v>
      </c>
      <c r="B86" s="86" t="s">
        <v>111</v>
      </c>
      <c r="C86" s="87" t="str">
        <f t="shared" ref="C86:D86" si="24">B13</f>
        <v>Szikora István</v>
      </c>
      <c r="D86" s="88" t="str">
        <f t="shared" si="24"/>
        <v/>
      </c>
      <c r="E86" s="88" t="e">
        <f>AT13</f>
        <v>#VALUE!</v>
      </c>
      <c r="F86" s="87"/>
      <c r="G86" s="89" t="e">
        <f>AT26</f>
        <v>#VALUE!</v>
      </c>
      <c r="H86" s="90" t="e">
        <f>AU13</f>
        <v>#VALUE!</v>
      </c>
    </row>
    <row r="87" spans="1:8" ht="12.75" x14ac:dyDescent="0.2">
      <c r="A87" s="1">
        <v>12</v>
      </c>
      <c r="B87" s="91" t="s">
        <v>112</v>
      </c>
      <c r="C87" s="92" t="str">
        <f t="shared" ref="C87:D87" si="25">B12</f>
        <v>Várnoki Ádám</v>
      </c>
      <c r="D87" s="93" t="str">
        <f t="shared" si="25"/>
        <v/>
      </c>
      <c r="E87" s="93" t="e">
        <f>AT12</f>
        <v>#VALUE!</v>
      </c>
      <c r="F87" s="92"/>
      <c r="G87" s="94" t="e">
        <f>AT25</f>
        <v>#VALUE!</v>
      </c>
      <c r="H87" s="95" t="e">
        <f>AU12</f>
        <v>#VALUE!</v>
      </c>
    </row>
    <row r="88" spans="1:8" ht="12.75" x14ac:dyDescent="0.2">
      <c r="A88" s="1">
        <v>11</v>
      </c>
      <c r="B88" s="91" t="s">
        <v>113</v>
      </c>
      <c r="C88" s="96" t="str">
        <f t="shared" ref="C88:D88" si="26">B11</f>
        <v>Vaspál Gergő</v>
      </c>
      <c r="D88" s="93" t="str">
        <f t="shared" si="26"/>
        <v>8</v>
      </c>
      <c r="E88" s="93" t="e">
        <f>AT11</f>
        <v>#VALUE!</v>
      </c>
      <c r="F88" s="92"/>
      <c r="G88" s="94" t="e">
        <f>AT24</f>
        <v>#VALUE!</v>
      </c>
      <c r="H88" s="95" t="e">
        <f>AU11</f>
        <v>#VALUE!</v>
      </c>
    </row>
    <row r="89" spans="1:8" ht="12.75" x14ac:dyDescent="0.2">
      <c r="A89" s="1">
        <v>5</v>
      </c>
      <c r="B89" s="91" t="s">
        <v>114</v>
      </c>
      <c r="C89" s="92" t="str">
        <f t="shared" ref="C89:D89" si="27">B5</f>
        <v>Barcsik Kristóf</v>
      </c>
      <c r="D89" s="93" t="str">
        <f t="shared" si="27"/>
        <v>ű</v>
      </c>
      <c r="E89" s="93" t="e">
        <f>AT5</f>
        <v>#VALUE!</v>
      </c>
      <c r="F89" s="92"/>
      <c r="G89" s="94" t="e">
        <f>AT18</f>
        <v>#VALUE!</v>
      </c>
      <c r="H89" s="95" t="e">
        <f>AU5</f>
        <v>#VALUE!</v>
      </c>
    </row>
    <row r="90" spans="1:8" ht="12.75" x14ac:dyDescent="0.2">
      <c r="A90" s="1">
        <v>10</v>
      </c>
      <c r="B90" s="97" t="s">
        <v>115</v>
      </c>
      <c r="C90" s="98" t="str">
        <f t="shared" ref="C90:D90" si="28">B10</f>
        <v>Varga Szabolcs</v>
      </c>
      <c r="D90" s="99" t="str">
        <f t="shared" si="28"/>
        <v>9</v>
      </c>
      <c r="E90" s="99" t="e">
        <f>AT10</f>
        <v>#VALUE!</v>
      </c>
      <c r="F90" s="98"/>
      <c r="G90" s="100" t="e">
        <f>AT23</f>
        <v>#VALUE!</v>
      </c>
      <c r="H90" s="101" t="e">
        <f>AU10</f>
        <v>#VALUE!</v>
      </c>
    </row>
    <row r="93" spans="1:8" ht="12.75" x14ac:dyDescent="0.2">
      <c r="B93" s="107" t="s">
        <v>122</v>
      </c>
      <c r="C93" s="108"/>
      <c r="D93" s="109" t="s">
        <v>123</v>
      </c>
      <c r="E93" s="108"/>
      <c r="F93" s="110" t="s">
        <v>124</v>
      </c>
      <c r="G93" s="108"/>
    </row>
  </sheetData>
  <mergeCells count="4">
    <mergeCell ref="B81:C81"/>
    <mergeCell ref="B93:C93"/>
    <mergeCell ref="D93:E93"/>
    <mergeCell ref="F93:G93"/>
  </mergeCell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5</vt:i4>
      </vt:variant>
    </vt:vector>
  </HeadingPairs>
  <TitlesOfParts>
    <vt:vector size="5" baseType="lpstr">
      <vt:lpstr>2026 tavasz</vt:lpstr>
      <vt:lpstr>2026 Tavasz diagram</vt:lpstr>
      <vt:lpstr>Tippjáték</vt:lpstr>
      <vt:lpstr>Éves adatsor</vt:lpstr>
      <vt:lpstr>Éves diagram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Tamas Jakob</dc:creator>
  <cp:lastModifiedBy>Tamas Jakob</cp:lastModifiedBy>
  <dcterms:created xsi:type="dcterms:W3CDTF">2026-03-17T13:16:53Z</dcterms:created>
  <dcterms:modified xsi:type="dcterms:W3CDTF">2026-03-18T09:04:36Z</dcterms:modified>
</cp:coreProperties>
</file>