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tavasz" sheetId="1" r:id="rId5"/>
    <sheet state="visible" name="2026 Tavasz diagram" sheetId="2" r:id="rId6"/>
    <sheet state="visible" name="Tippjáték" sheetId="3" r:id="rId7"/>
    <sheet state="visible" name="Éves adatsor" sheetId="4" r:id="rId8"/>
    <sheet state="visible" name="Éves diagram" sheetId="5" r:id="rId9"/>
  </sheets>
  <definedNames/>
  <calcPr/>
</workbook>
</file>

<file path=xl/sharedStrings.xml><?xml version="1.0" encoding="utf-8"?>
<sst xmlns="http://schemas.openxmlformats.org/spreadsheetml/2006/main" count="447" uniqueCount="125">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</sst>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m.dd"/>
    <numFmt numFmtId="165" formatCode="yyyy.mm.dd."/>
    <numFmt numFmtId="166" formatCode="#,##0.0 Kg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E6E8F0"/>
      <name val="Monospace"/>
    </font>
    <font>
      <b/>
      <color theme="1"/>
      <name val="Arial"/>
      <scheme val="minor"/>
    </font>
    <font/>
  </fonts>
  <fills count="9">
    <fill>
      <patternFill patternType="none"/>
    </fill>
    <fill>
      <patternFill patternType="lightGray"/>
    </fill>
    <fill>
      <patternFill patternType="solid">
        <fgColor rgb="FF28292A"/>
        <bgColor rgb="FF28292A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2" fontId="3" numFmtId="166" xfId="0" applyFill="1" applyFont="1" applyNumberFormat="1"/>
    <xf borderId="0" fillId="0" fontId="1" numFmtId="166" xfId="0" applyFont="1" applyNumberFormat="1"/>
    <xf borderId="0" fillId="0" fontId="1" numFmtId="10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4" xfId="0" applyFont="1" applyNumberFormat="1"/>
    <xf borderId="0" fillId="0" fontId="1" numFmtId="10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166" xfId="0" applyBorder="1" applyFont="1" applyNumberFormat="1"/>
    <xf borderId="1" fillId="0" fontId="1" numFmtId="166" xfId="0" applyBorder="1" applyFont="1" applyNumberForma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10" xfId="0" applyBorder="1" applyFont="1" applyNumberFormat="1"/>
    <xf borderId="0" fillId="0" fontId="4" numFmtId="0" xfId="0" applyFont="1"/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2" fillId="0" fontId="1" numFmtId="0" xfId="0" applyBorder="1" applyFont="1"/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Border="1" applyFont="1"/>
    <xf borderId="7" fillId="0" fontId="1" numFmtId="166" xfId="0" applyAlignment="1" applyBorder="1" applyFont="1" applyNumberFormat="1">
      <alignment horizontal="center"/>
    </xf>
    <xf borderId="7" fillId="0" fontId="1" numFmtId="166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8" fillId="0" fontId="1" numFmtId="166" xfId="0" applyAlignment="1" applyBorder="1" applyFont="1" applyNumberFormat="1">
      <alignment horizontal="center"/>
    </xf>
    <xf borderId="5" fillId="0" fontId="1" numFmtId="166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Border="1" applyFont="1"/>
    <xf borderId="0" fillId="0" fontId="1" numFmtId="166" xfId="0" applyAlignment="1" applyFont="1" applyNumberFormat="1">
      <alignment horizontal="center"/>
    </xf>
    <xf borderId="11" fillId="0" fontId="1" numFmtId="166" xfId="0" applyAlignment="1" applyBorder="1" applyFont="1" applyNumberFormat="1">
      <alignment horizontal="center"/>
    </xf>
    <xf borderId="9" fillId="0" fontId="1" numFmtId="166" xfId="0" applyAlignment="1" applyBorder="1" applyFont="1" applyNumberFormat="1">
      <alignment horizontal="center"/>
    </xf>
    <xf borderId="10" fillId="6" fontId="1" numFmtId="0" xfId="0" applyBorder="1" applyFill="1" applyFont="1"/>
    <xf borderId="0" fillId="6" fontId="1" numFmtId="166" xfId="0" applyAlignment="1" applyFont="1" applyNumberFormat="1">
      <alignment horizontal="center"/>
    </xf>
    <xf borderId="11" fillId="6" fontId="1" numFmtId="166" xfId="0" applyAlignment="1" applyBorder="1" applyFont="1" applyNumberFormat="1">
      <alignment horizontal="center"/>
    </xf>
    <xf borderId="12" fillId="0" fontId="1" numFmtId="0" xfId="0" applyBorder="1" applyFont="1"/>
    <xf borderId="13" fillId="0" fontId="1" numFmtId="166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14" fillId="0" fontId="1" numFmtId="166" xfId="0" applyAlignment="1" applyBorder="1" applyFont="1" applyNumberFormat="1">
      <alignment horizontal="center"/>
    </xf>
    <xf borderId="15" fillId="0" fontId="1" numFmtId="166" xfId="0" applyAlignment="1" applyBorder="1" applyFont="1" applyNumberFormat="1">
      <alignment horizontal="center"/>
    </xf>
    <xf borderId="1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5" numFmtId="0" xfId="0" applyBorder="1" applyFont="1"/>
    <xf borderId="8" fillId="0" fontId="5" numFmtId="0" xfId="0" applyBorder="1" applyFont="1"/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1" numFmtId="9" xfId="0" applyBorder="1" applyFont="1" applyNumberFormat="1"/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1" numFmtId="9" xfId="0" applyBorder="1" applyFont="1" applyNumberFormat="1"/>
    <xf borderId="12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4" fillId="0" fontId="1" numFmtId="9" xfId="0" applyBorder="1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2" fillId="0" fontId="1" numFmtId="0" xfId="0" applyAlignment="1" applyBorder="1" applyFont="1">
      <alignment horizontal="center" readingOrder="0"/>
    </xf>
    <xf borderId="3" fillId="0" fontId="5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5" fillId="7" fontId="1" numFmtId="0" xfId="0" applyAlignment="1" applyBorder="1" applyFill="1" applyFont="1">
      <alignment horizontal="center" readingOrder="0"/>
    </xf>
    <xf borderId="0" fillId="7" fontId="1" numFmtId="0" xfId="0" applyAlignment="1" applyFont="1">
      <alignment horizontal="center"/>
    </xf>
    <xf borderId="0" fillId="7" fontId="1" numFmtId="4" xfId="0" applyAlignment="1" applyFont="1" applyNumberFormat="1">
      <alignment horizontal="center"/>
    </xf>
    <xf borderId="0" fillId="7" fontId="1" numFmtId="10" xfId="0" applyAlignment="1" applyFont="1" applyNumberFormat="1">
      <alignment horizontal="center"/>
    </xf>
    <xf borderId="11" fillId="7" fontId="1" numFmtId="166" xfId="0" applyAlignment="1" applyBorder="1" applyFont="1" applyNumberFormat="1">
      <alignment horizontal="center"/>
    </xf>
    <xf borderId="9" fillId="7" fontId="1" numFmtId="0" xfId="0" applyAlignment="1" applyBorder="1" applyFont="1">
      <alignment horizontal="center" readingOrder="0"/>
    </xf>
    <xf borderId="9" fillId="6" fontId="1" numFmtId="0" xfId="0" applyAlignment="1" applyBorder="1" applyFont="1">
      <alignment horizontal="center" readingOrder="0"/>
    </xf>
    <xf borderId="0" fillId="6" fontId="1" numFmtId="0" xfId="0" applyAlignment="1" applyFont="1">
      <alignment horizontal="center"/>
    </xf>
    <xf borderId="0" fillId="6" fontId="1" numFmtId="4" xfId="0" applyAlignment="1" applyFont="1" applyNumberFormat="1">
      <alignment horizontal="center"/>
    </xf>
    <xf borderId="0" fillId="6" fontId="1" numFmtId="10" xfId="0" applyAlignment="1" applyFont="1" applyNumberFormat="1">
      <alignment horizontal="center"/>
    </xf>
    <xf borderId="11" fillId="6" fontId="1" numFmtId="166" xfId="0" applyAlignment="1" applyBorder="1" applyFont="1" applyNumberFormat="1">
      <alignment horizontal="center"/>
    </xf>
    <xf borderId="9" fillId="8" fontId="1" numFmtId="0" xfId="0" applyAlignment="1" applyBorder="1" applyFill="1" applyFont="1">
      <alignment horizontal="center" readingOrder="0"/>
    </xf>
    <xf borderId="0" fillId="8" fontId="1" numFmtId="0" xfId="0" applyAlignment="1" applyFont="1">
      <alignment horizontal="center"/>
    </xf>
    <xf borderId="0" fillId="8" fontId="1" numFmtId="4" xfId="0" applyAlignment="1" applyFont="1" applyNumberFormat="1">
      <alignment horizontal="center"/>
    </xf>
    <xf borderId="0" fillId="8" fontId="1" numFmtId="10" xfId="0" applyAlignment="1" applyFont="1" applyNumberFormat="1">
      <alignment horizontal="center"/>
    </xf>
    <xf borderId="11" fillId="8" fontId="1" numFmtId="166" xfId="0" applyAlignment="1" applyBorder="1" applyFont="1" applyNumberFormat="1">
      <alignment horizontal="center"/>
    </xf>
    <xf borderId="0" fillId="8" fontId="1" numFmtId="0" xfId="0" applyAlignment="1" applyFont="1">
      <alignment horizontal="center" readingOrder="0"/>
    </xf>
    <xf borderId="15" fillId="8" fontId="1" numFmtId="0" xfId="0" applyAlignment="1" applyBorder="1" applyFont="1">
      <alignment horizontal="center" readingOrder="0"/>
    </xf>
    <xf borderId="13" fillId="8" fontId="1" numFmtId="0" xfId="0" applyAlignment="1" applyBorder="1" applyFont="1">
      <alignment horizontal="center"/>
    </xf>
    <xf borderId="13" fillId="8" fontId="1" numFmtId="4" xfId="0" applyAlignment="1" applyBorder="1" applyFont="1" applyNumberFormat="1">
      <alignment horizontal="center"/>
    </xf>
    <xf borderId="13" fillId="8" fontId="1" numFmtId="10" xfId="0" applyAlignment="1" applyBorder="1" applyFont="1" applyNumberFormat="1">
      <alignment horizontal="center"/>
    </xf>
    <xf borderId="14" fillId="8" fontId="1" numFmtId="166" xfId="0" applyAlignment="1" applyBorder="1" applyFont="1" applyNumberFormat="1">
      <alignment horizontal="center"/>
    </xf>
    <xf borderId="2" fillId="7" fontId="1" numFmtId="0" xfId="0" applyAlignment="1" applyBorder="1" applyFont="1">
      <alignment readingOrder="0"/>
    </xf>
    <xf borderId="4" fillId="0" fontId="5" numFmtId="0" xfId="0" applyBorder="1" applyFont="1"/>
    <xf borderId="2" fillId="6" fontId="1" numFmtId="0" xfId="0" applyAlignment="1" applyBorder="1" applyFont="1">
      <alignment readingOrder="0"/>
    </xf>
    <xf borderId="2" fillId="8" fontId="1" numFmtId="0" xfId="0" applyAlignment="1" applyBorder="1" applyFont="1">
      <alignment readingOrder="0"/>
    </xf>
  </cellXfs>
  <cellStyles count="1">
    <cellStyle xfId="0" name="Normal" builtinId="0"/>
  </cellStyles>
  <dxfs count="11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Éves diagram-style">
      <tableStyleElement dxfId="7" type="headerRow"/>
      <tableStyleElement dxfId="8" type="firstRowStripe"/>
      <tableStyleElement dxfId="9" type="secondRowStripe"/>
      <tableStyleElement dxfId="10" size="0" type="wholeTable"/>
    </tableStyle>
    <tableStyle count="2" pivot="0" name="Éves diagram-style 2"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'Tippjáték'!$H$44:$H$58</c:f>
            </c:strRef>
          </c:cat>
          <c:val>
            <c:numRef>
              <c:f>'Tippjáték'!$I$44:$I$58</c:f>
              <c:numCache/>
            </c:numRef>
          </c:val>
        </c:ser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4365594"/>
      </c:catAx>
      <c:valAx>
        <c:axId val="1974365594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1854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61</xdr:row>
      <xdr:rowOff>161925</xdr:rowOff>
    </xdr:from>
    <xdr:ext cx="14068425" cy="5657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65:H77" displayName="Második_forduló" name="Második_forduló" id="1">
  <tableColumns count="6">
    <tableColumn name="Helyezés" id="1"/>
    <tableColumn name="Versenyző" id="2"/>
    <tableColumn name="Kezdő érték" id="3"/>
    <tableColumn name="Végeredmény" id="4"/>
    <tableColumn name="százalék" id="5"/>
    <tableColumn name="súlykülönbség" id="6"/>
  </tableColumns>
  <tableStyleInfo name="Éves diagram-style" showColumnStripes="0" showFirstColumn="1" showLastColumn="1" showRowStripes="1"/>
</table>
</file>

<file path=xl/tables/table2.xml><?xml version="1.0" encoding="utf-8"?>
<table xmlns="http://schemas.openxmlformats.org/spreadsheetml/2006/main" headerRowCount="0" ref="J66:N66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Éves diagram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3">
      <c r="B3" s="1"/>
      <c r="C3" s="2">
        <v>46042.0</v>
      </c>
      <c r="D3" s="3">
        <v>46049.0</v>
      </c>
      <c r="E3" s="3">
        <v>46056.0</v>
      </c>
      <c r="F3" s="3">
        <v>46063.0</v>
      </c>
      <c r="G3" s="3">
        <v>46070.0</v>
      </c>
      <c r="H3" s="3">
        <v>46077.0</v>
      </c>
      <c r="I3" s="3">
        <v>46084.0</v>
      </c>
      <c r="J3" s="3">
        <v>46091.0</v>
      </c>
      <c r="K3" s="3">
        <v>46098.0</v>
      </c>
      <c r="L3" s="4">
        <v>46105.0</v>
      </c>
      <c r="M3" s="5">
        <v>46112.0</v>
      </c>
      <c r="N3" s="5">
        <v>46119.0</v>
      </c>
      <c r="O3" s="5">
        <v>46126.0</v>
      </c>
      <c r="P3" s="5">
        <v>46133.0</v>
      </c>
      <c r="Q3" s="5">
        <v>46140.0</v>
      </c>
      <c r="R3" s="5">
        <v>46147.0</v>
      </c>
      <c r="S3" s="5">
        <v>46154.0</v>
      </c>
      <c r="T3" s="5">
        <v>46162.0</v>
      </c>
      <c r="U3" s="6" t="s">
        <v>0</v>
      </c>
      <c r="V3" s="1" t="s">
        <v>1</v>
      </c>
      <c r="W3" s="7" t="s">
        <v>2</v>
      </c>
      <c r="X3" s="1" t="s">
        <v>3</v>
      </c>
      <c r="Y3" s="1" t="s">
        <v>4</v>
      </c>
      <c r="Z3" s="1" t="s">
        <v>5</v>
      </c>
      <c r="AA3" s="1" t="s">
        <v>6</v>
      </c>
    </row>
    <row r="4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6" t="s">
        <v>24</v>
      </c>
      <c r="U4" s="7"/>
    </row>
    <row r="5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113.0</v>
      </c>
      <c r="I5" s="8">
        <v>113.5</v>
      </c>
      <c r="J5" s="9">
        <v>113.5</v>
      </c>
      <c r="K5" s="9"/>
      <c r="L5" s="9"/>
      <c r="M5" s="9"/>
      <c r="N5" s="9"/>
      <c r="O5" s="9"/>
      <c r="P5" s="9"/>
      <c r="Q5" s="9"/>
      <c r="R5" s="9"/>
      <c r="S5" s="9"/>
      <c r="T5" s="10">
        <f t="array" ref="T5">XLOOKUP(TRUE, C5:S5&lt;&gt;"", C5:S5, , , -1)</f>
        <v>113.5</v>
      </c>
      <c r="U5" s="8">
        <v>112.0</v>
      </c>
      <c r="V5" s="11">
        <f t="shared" ref="V5:V17" si="1">C5-U5</f>
        <v>4.1</v>
      </c>
      <c r="W5" s="12">
        <f t="shared" ref="W5:W17" si="2">V5/C5</f>
        <v>0.03531438415</v>
      </c>
      <c r="X5" s="11">
        <f t="shared" ref="X5:X19" si="3">C5-T5</f>
        <v>2.6</v>
      </c>
      <c r="Y5" s="13">
        <f t="shared" ref="Y5:Y19" si="4">RANK(X5,$X$5:$X$19,0)</f>
        <v>7</v>
      </c>
      <c r="Z5" s="12">
        <f t="shared" ref="Z5:Z19" si="5">1-T5/C5</f>
        <v>0.02239448751</v>
      </c>
      <c r="AA5" s="13">
        <f t="shared" ref="AA5:AA19" si="6">RANK(Z5,$Z$5:$Z$19,0)</f>
        <v>7</v>
      </c>
    </row>
    <row r="6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101.0</v>
      </c>
      <c r="H6" s="9">
        <v>102.0</v>
      </c>
      <c r="I6" s="9">
        <v>101.6</v>
      </c>
      <c r="J6" s="9">
        <v>102.4</v>
      </c>
      <c r="K6" s="9"/>
      <c r="L6" s="9"/>
      <c r="M6" s="9"/>
      <c r="N6" s="9"/>
      <c r="O6" s="9"/>
      <c r="P6" s="9"/>
      <c r="Q6" s="9"/>
      <c r="R6" s="9"/>
      <c r="S6" s="9"/>
      <c r="T6" s="10">
        <f t="array" ref="T6">XLOOKUP(TRUE, C6:S6&lt;&gt;"", C6:S6, , , -1)</f>
        <v>102.4</v>
      </c>
      <c r="U6" s="9">
        <v>98.0</v>
      </c>
      <c r="V6" s="14">
        <f t="shared" si="1"/>
        <v>3.5</v>
      </c>
      <c r="W6" s="12">
        <f t="shared" si="2"/>
        <v>0.03448275862</v>
      </c>
      <c r="X6" s="14">
        <f t="shared" si="3"/>
        <v>-0.9</v>
      </c>
      <c r="Y6" s="13">
        <f t="shared" si="4"/>
        <v>14</v>
      </c>
      <c r="Z6" s="12">
        <f t="shared" si="5"/>
        <v>-0.008866995074</v>
      </c>
      <c r="AA6" s="13">
        <f t="shared" si="6"/>
        <v>14</v>
      </c>
    </row>
    <row r="7">
      <c r="B7" s="1" t="s">
        <v>27</v>
      </c>
      <c r="C7" s="9">
        <v>116.3</v>
      </c>
      <c r="D7" s="9">
        <v>116.0</v>
      </c>
      <c r="E7" s="9">
        <v>114.0</v>
      </c>
      <c r="F7" s="9">
        <v>114.3</v>
      </c>
      <c r="G7" s="9">
        <v>112.6</v>
      </c>
      <c r="H7" s="9">
        <v>113.6</v>
      </c>
      <c r="I7" s="9">
        <v>112.4</v>
      </c>
      <c r="J7" s="9">
        <v>112.0</v>
      </c>
      <c r="K7" s="9"/>
      <c r="L7" s="9"/>
      <c r="M7" s="9"/>
      <c r="N7" s="9"/>
      <c r="O7" s="9"/>
      <c r="P7" s="9"/>
      <c r="Q7" s="9"/>
      <c r="R7" s="9"/>
      <c r="S7" s="9"/>
      <c r="T7" s="10">
        <f t="array" ref="T7">XLOOKUP(TRUE, C7:S7&lt;&gt;"", C7:S7, , , -1)</f>
        <v>112</v>
      </c>
      <c r="U7" s="9">
        <v>113.0</v>
      </c>
      <c r="V7" s="14">
        <f t="shared" si="1"/>
        <v>3.3</v>
      </c>
      <c r="W7" s="12">
        <f t="shared" si="2"/>
        <v>0.02837489252</v>
      </c>
      <c r="X7" s="14">
        <f t="shared" si="3"/>
        <v>4.3</v>
      </c>
      <c r="Y7" s="13">
        <f t="shared" si="4"/>
        <v>4</v>
      </c>
      <c r="Z7" s="12">
        <f t="shared" si="5"/>
        <v>0.0369733448</v>
      </c>
      <c r="AA7" s="13">
        <f t="shared" si="6"/>
        <v>5</v>
      </c>
    </row>
    <row r="8">
      <c r="B8" s="1" t="s">
        <v>28</v>
      </c>
      <c r="C8" s="9">
        <v>87.7</v>
      </c>
      <c r="D8" s="9">
        <v>88.0</v>
      </c>
      <c r="E8" s="9">
        <v>88.0</v>
      </c>
      <c r="F8" s="9">
        <v>87.7</v>
      </c>
      <c r="G8" s="9">
        <v>87.7</v>
      </c>
      <c r="H8" s="9">
        <v>87.2</v>
      </c>
      <c r="I8" s="9">
        <v>88.0</v>
      </c>
      <c r="J8" s="9">
        <v>87.3</v>
      </c>
      <c r="K8" s="9"/>
      <c r="L8" s="9"/>
      <c r="M8" s="9"/>
      <c r="N8" s="9"/>
      <c r="O8" s="9"/>
      <c r="P8" s="9"/>
      <c r="Q8" s="9"/>
      <c r="R8" s="9"/>
      <c r="S8" s="9"/>
      <c r="T8" s="10">
        <f t="array" ref="T8">XLOOKUP(TRUE, C8:S8&lt;&gt;"", C8:S8, , , -1)</f>
        <v>87.3</v>
      </c>
      <c r="U8" s="9">
        <v>85.0</v>
      </c>
      <c r="V8" s="14">
        <f t="shared" si="1"/>
        <v>2.7</v>
      </c>
      <c r="W8" s="12">
        <f t="shared" si="2"/>
        <v>0.03078677309</v>
      </c>
      <c r="X8" s="14">
        <f t="shared" si="3"/>
        <v>0.4</v>
      </c>
      <c r="Y8" s="13">
        <f t="shared" si="4"/>
        <v>10</v>
      </c>
      <c r="Z8" s="12">
        <f t="shared" si="5"/>
        <v>0.004561003421</v>
      </c>
      <c r="AA8" s="13">
        <f t="shared" si="6"/>
        <v>10</v>
      </c>
    </row>
    <row r="9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85.0</v>
      </c>
      <c r="J9" s="9">
        <v>83.8</v>
      </c>
      <c r="K9" s="9"/>
      <c r="L9" s="9"/>
      <c r="M9" s="9"/>
      <c r="N9" s="9"/>
      <c r="O9" s="9"/>
      <c r="P9" s="9"/>
      <c r="Q9" s="9"/>
      <c r="R9" s="9"/>
      <c r="S9" s="9"/>
      <c r="T9" s="10">
        <f t="array" ref="T9">XLOOKUP(TRUE, C9:S9&lt;&gt;"", C9:S9, , , -1)</f>
        <v>83.8</v>
      </c>
      <c r="U9" s="9">
        <v>80.0</v>
      </c>
      <c r="V9" s="14">
        <f t="shared" si="1"/>
        <v>8.3</v>
      </c>
      <c r="W9" s="12">
        <f t="shared" si="2"/>
        <v>0.09399773499</v>
      </c>
      <c r="X9" s="14">
        <f t="shared" si="3"/>
        <v>4.5</v>
      </c>
      <c r="Y9" s="13">
        <f t="shared" si="4"/>
        <v>3</v>
      </c>
      <c r="Z9" s="12">
        <f t="shared" si="5"/>
        <v>0.05096262741</v>
      </c>
      <c r="AA9" s="13">
        <f t="shared" si="6"/>
        <v>3</v>
      </c>
    </row>
    <row r="10">
      <c r="B10" s="1" t="s">
        <v>30</v>
      </c>
      <c r="C10" s="9">
        <v>105.3</v>
      </c>
      <c r="D10" s="9">
        <v>104.0</v>
      </c>
      <c r="E10" s="9">
        <v>104.0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/>
      <c r="L10" s="9"/>
      <c r="M10" s="9"/>
      <c r="N10" s="9"/>
      <c r="O10" s="9"/>
      <c r="P10" s="9"/>
      <c r="Q10" s="9"/>
      <c r="R10" s="9"/>
      <c r="S10" s="9"/>
      <c r="T10" s="10">
        <f t="array" ref="T10">XLOOKUP(TRUE, C10:S10&lt;&gt;"", C10:S10, , , -1)</f>
        <v>101.3</v>
      </c>
      <c r="U10" s="9">
        <v>95.0</v>
      </c>
      <c r="V10" s="14">
        <f t="shared" si="1"/>
        <v>10.3</v>
      </c>
      <c r="W10" s="12">
        <f t="shared" si="2"/>
        <v>0.09781576448</v>
      </c>
      <c r="X10" s="14">
        <f t="shared" si="3"/>
        <v>4</v>
      </c>
      <c r="Y10" s="13">
        <f t="shared" si="4"/>
        <v>5</v>
      </c>
      <c r="Z10" s="12">
        <f t="shared" si="5"/>
        <v>0.03798670465</v>
      </c>
      <c r="AA10" s="13">
        <f t="shared" si="6"/>
        <v>4</v>
      </c>
    </row>
    <row r="11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/>
      <c r="L11" s="9"/>
      <c r="M11" s="9"/>
      <c r="N11" s="9"/>
      <c r="O11" s="9"/>
      <c r="P11" s="9"/>
      <c r="Q11" s="9"/>
      <c r="R11" s="9"/>
      <c r="S11" s="9"/>
      <c r="T11" s="10">
        <f t="array" ref="T11">XLOOKUP(TRUE, C11:S11&lt;&gt;"", C11:S11, , , -1)</f>
        <v>92.5</v>
      </c>
      <c r="U11" s="9">
        <v>89.0</v>
      </c>
      <c r="V11" s="14">
        <f t="shared" si="1"/>
        <v>3.3</v>
      </c>
      <c r="W11" s="12">
        <f t="shared" si="2"/>
        <v>0.03575297941</v>
      </c>
      <c r="X11" s="14">
        <f t="shared" si="3"/>
        <v>-0.2</v>
      </c>
      <c r="Y11" s="13">
        <f t="shared" si="4"/>
        <v>13</v>
      </c>
      <c r="Z11" s="12">
        <f t="shared" si="5"/>
        <v>-0.002166847237</v>
      </c>
      <c r="AA11" s="13">
        <f t="shared" si="6"/>
        <v>13</v>
      </c>
    </row>
    <row r="12">
      <c r="B12" s="1" t="s">
        <v>32</v>
      </c>
      <c r="C12" s="9">
        <v>108.4</v>
      </c>
      <c r="D12" s="9">
        <v>107.0</v>
      </c>
      <c r="E12" s="9">
        <v>107.4</v>
      </c>
      <c r="F12" s="9">
        <v>106.5</v>
      </c>
      <c r="G12" s="9">
        <v>104.0</v>
      </c>
      <c r="H12" s="9">
        <v>102.9</v>
      </c>
      <c r="I12" s="9">
        <v>103.0</v>
      </c>
      <c r="J12" s="9">
        <v>101.9</v>
      </c>
      <c r="K12" s="9"/>
      <c r="L12" s="9"/>
      <c r="M12" s="9"/>
      <c r="N12" s="9"/>
      <c r="O12" s="9"/>
      <c r="P12" s="9"/>
      <c r="Q12" s="9"/>
      <c r="R12" s="9"/>
      <c r="S12" s="9"/>
      <c r="T12" s="10">
        <f t="array" ref="T12">XLOOKUP(TRUE, C12:S12&lt;&gt;"", C12:S12, , , -1)</f>
        <v>101.9</v>
      </c>
      <c r="U12" s="9">
        <v>100.0</v>
      </c>
      <c r="V12" s="14">
        <f t="shared" si="1"/>
        <v>8.4</v>
      </c>
      <c r="W12" s="12">
        <f t="shared" si="2"/>
        <v>0.07749077491</v>
      </c>
      <c r="X12" s="14">
        <f t="shared" si="3"/>
        <v>6.5</v>
      </c>
      <c r="Y12" s="13">
        <f t="shared" si="4"/>
        <v>1</v>
      </c>
      <c r="Z12" s="12">
        <f t="shared" si="5"/>
        <v>0.05996309963</v>
      </c>
      <c r="AA12" s="13">
        <f t="shared" si="6"/>
        <v>1</v>
      </c>
    </row>
    <row r="13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101.0</v>
      </c>
      <c r="H13" s="9">
        <v>100.3</v>
      </c>
      <c r="I13" s="9">
        <v>99.9</v>
      </c>
      <c r="J13" s="9">
        <v>99.4</v>
      </c>
      <c r="K13" s="9"/>
      <c r="L13" s="9"/>
      <c r="M13" s="9"/>
      <c r="N13" s="9"/>
      <c r="O13" s="9"/>
      <c r="P13" s="9"/>
      <c r="Q13" s="9"/>
      <c r="R13" s="9"/>
      <c r="S13" s="9"/>
      <c r="T13" s="10">
        <f t="array" ref="T13">XLOOKUP(TRUE, C13:S13&lt;&gt;"", C13:S13, , , -1)</f>
        <v>99.4</v>
      </c>
      <c r="U13" s="9">
        <v>95.0</v>
      </c>
      <c r="V13" s="14">
        <f t="shared" si="1"/>
        <v>7.1</v>
      </c>
      <c r="W13" s="12">
        <f t="shared" si="2"/>
        <v>0.06953966699</v>
      </c>
      <c r="X13" s="14">
        <f t="shared" si="3"/>
        <v>2.7</v>
      </c>
      <c r="Y13" s="13">
        <f t="shared" si="4"/>
        <v>6</v>
      </c>
      <c r="Z13" s="12">
        <f t="shared" si="5"/>
        <v>0.0264446621</v>
      </c>
      <c r="AA13" s="13">
        <f t="shared" si="6"/>
        <v>6</v>
      </c>
    </row>
    <row r="14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/>
      <c r="L14" s="9"/>
      <c r="M14" s="9"/>
      <c r="N14" s="9"/>
      <c r="O14" s="9"/>
      <c r="P14" s="9"/>
      <c r="Q14" s="9"/>
      <c r="R14" s="9"/>
      <c r="S14" s="9"/>
      <c r="T14" s="10">
        <f t="array" ref="T14">XLOOKUP(TRUE, C14:S14&lt;&gt;"", C14:S14, , , -1)</f>
        <v>97.2</v>
      </c>
      <c r="U14" s="9">
        <v>95.9</v>
      </c>
      <c r="V14" s="14">
        <f t="shared" si="1"/>
        <v>1.3</v>
      </c>
      <c r="W14" s="12">
        <f t="shared" si="2"/>
        <v>0.0133744856</v>
      </c>
      <c r="X14" s="14">
        <f t="shared" si="3"/>
        <v>0</v>
      </c>
      <c r="Y14" s="13">
        <f t="shared" si="4"/>
        <v>12</v>
      </c>
      <c r="Z14" s="12">
        <f t="shared" si="5"/>
        <v>0</v>
      </c>
      <c r="AA14" s="13">
        <f t="shared" si="6"/>
        <v>12</v>
      </c>
    </row>
    <row r="15">
      <c r="B15" s="1" t="s">
        <v>35</v>
      </c>
      <c r="C15" s="9">
        <v>80.1</v>
      </c>
      <c r="D15" s="9">
        <v>79.9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</v>
      </c>
      <c r="K15" s="9"/>
      <c r="L15" s="9"/>
      <c r="M15" s="9"/>
      <c r="N15" s="9"/>
      <c r="O15" s="9"/>
      <c r="P15" s="9"/>
      <c r="Q15" s="9"/>
      <c r="R15" s="9"/>
      <c r="S15" s="9"/>
      <c r="T15" s="10">
        <f t="array" ref="T15">XLOOKUP(TRUE, C15:S15&lt;&gt;"", C15:S15, , , -1)</f>
        <v>75.4</v>
      </c>
      <c r="U15" s="9">
        <v>72.0</v>
      </c>
      <c r="V15" s="14">
        <f t="shared" si="1"/>
        <v>8.1</v>
      </c>
      <c r="W15" s="12">
        <f t="shared" si="2"/>
        <v>0.1011235955</v>
      </c>
      <c r="X15" s="14">
        <f t="shared" si="3"/>
        <v>4.7</v>
      </c>
      <c r="Y15" s="13">
        <f t="shared" si="4"/>
        <v>2</v>
      </c>
      <c r="Z15" s="12">
        <f t="shared" si="5"/>
        <v>0.05867665418</v>
      </c>
      <c r="AA15" s="13">
        <f t="shared" si="6"/>
        <v>2</v>
      </c>
    </row>
    <row r="16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63.0</v>
      </c>
      <c r="K16" s="9"/>
      <c r="L16" s="9"/>
      <c r="M16" s="9"/>
      <c r="N16" s="9"/>
      <c r="O16" s="9"/>
      <c r="P16" s="9"/>
      <c r="Q16" s="9"/>
      <c r="R16" s="9"/>
      <c r="S16" s="9"/>
      <c r="T16" s="10">
        <f t="array" ref="T16">XLOOKUP(TRUE, C16:S16&lt;&gt;"", C16:S16, , , -1)</f>
        <v>63</v>
      </c>
      <c r="U16" s="9">
        <v>55.0</v>
      </c>
      <c r="V16" s="14">
        <f t="shared" si="1"/>
        <v>8.1</v>
      </c>
      <c r="W16" s="12">
        <f t="shared" si="2"/>
        <v>0.1283676704</v>
      </c>
      <c r="X16" s="14">
        <f t="shared" si="3"/>
        <v>0.1</v>
      </c>
      <c r="Y16" s="13">
        <f t="shared" si="4"/>
        <v>11</v>
      </c>
      <c r="Z16" s="12">
        <f t="shared" si="5"/>
        <v>0.001584786054</v>
      </c>
      <c r="AA16" s="13">
        <f t="shared" si="6"/>
        <v>11</v>
      </c>
    </row>
    <row r="17">
      <c r="B17" s="1" t="s">
        <v>37</v>
      </c>
      <c r="C17" s="9">
        <v>68.6</v>
      </c>
      <c r="D17" s="9">
        <v>68.4</v>
      </c>
      <c r="E17" s="9">
        <v>69.2</v>
      </c>
      <c r="F17" s="9">
        <v>69.7</v>
      </c>
      <c r="G17" s="9">
        <v>69.4</v>
      </c>
      <c r="H17" s="9">
        <v>69.9</v>
      </c>
      <c r="I17" s="9">
        <v>68.9</v>
      </c>
      <c r="J17" s="9">
        <v>69.6</v>
      </c>
      <c r="K17" s="9"/>
      <c r="L17" s="9"/>
      <c r="M17" s="9"/>
      <c r="N17" s="9"/>
      <c r="O17" s="9"/>
      <c r="P17" s="9"/>
      <c r="Q17" s="9"/>
      <c r="R17" s="9"/>
      <c r="S17" s="9"/>
      <c r="T17" s="10">
        <f t="array" ref="T17">XLOOKUP(TRUE, C17:S17&lt;&gt;"", C17:S17, , , -1)</f>
        <v>69.6</v>
      </c>
      <c r="U17" s="9">
        <v>72.0</v>
      </c>
      <c r="V17" s="14">
        <f t="shared" si="1"/>
        <v>-3.4</v>
      </c>
      <c r="W17" s="12">
        <f t="shared" si="2"/>
        <v>-0.04956268222</v>
      </c>
      <c r="X17" s="14">
        <f t="shared" si="3"/>
        <v>-1</v>
      </c>
      <c r="Y17" s="13">
        <f t="shared" si="4"/>
        <v>15</v>
      </c>
      <c r="Z17" s="12">
        <f t="shared" si="5"/>
        <v>-0.01457725948</v>
      </c>
      <c r="AA17" s="13">
        <f t="shared" si="6"/>
        <v>15</v>
      </c>
    </row>
    <row r="18">
      <c r="B18" s="1" t="s">
        <v>38</v>
      </c>
      <c r="C18" s="9">
        <v>103.0</v>
      </c>
      <c r="D18" s="9">
        <v>103.0</v>
      </c>
      <c r="E18" s="9">
        <v>103.0</v>
      </c>
      <c r="F18" s="9">
        <v>103.0</v>
      </c>
      <c r="G18" s="9">
        <v>103.0</v>
      </c>
      <c r="H18" s="9">
        <v>103.0</v>
      </c>
      <c r="I18" s="9">
        <v>103.0</v>
      </c>
      <c r="J18" s="9">
        <v>102.2</v>
      </c>
      <c r="K18" s="9"/>
      <c r="L18" s="9"/>
      <c r="M18" s="9"/>
      <c r="N18" s="9"/>
      <c r="O18" s="9"/>
      <c r="P18" s="9"/>
      <c r="Q18" s="9"/>
      <c r="R18" s="9"/>
      <c r="S18" s="9"/>
      <c r="T18" s="10">
        <f t="array" ref="T18">XLOOKUP(TRUE, C18:S18&lt;&gt;"", C18:S18, , , -1)</f>
        <v>102.2</v>
      </c>
      <c r="U18" s="9">
        <v>97.0</v>
      </c>
      <c r="V18" s="14">
        <f t="shared" ref="V18:V19" si="7">I18-U18</f>
        <v>6</v>
      </c>
      <c r="W18" s="12">
        <f t="shared" ref="W18:W19" si="8">V18/I18</f>
        <v>0.05825242718</v>
      </c>
      <c r="X18" s="14">
        <f t="shared" si="3"/>
        <v>0.8</v>
      </c>
      <c r="Y18" s="13">
        <f t="shared" si="4"/>
        <v>9</v>
      </c>
      <c r="Z18" s="12">
        <f t="shared" si="5"/>
        <v>0.007766990291</v>
      </c>
      <c r="AA18" s="13">
        <f t="shared" si="6"/>
        <v>9</v>
      </c>
    </row>
    <row r="19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/>
      <c r="L19" s="9"/>
      <c r="M19" s="9"/>
      <c r="N19" s="9"/>
      <c r="O19" s="9"/>
      <c r="P19" s="9"/>
      <c r="Q19" s="9"/>
      <c r="R19" s="9"/>
      <c r="S19" s="9"/>
      <c r="T19" s="10">
        <f t="array" ref="T19">XLOOKUP(TRUE, C19:S19&lt;&gt;"", C19:S19, , , -1)</f>
        <v>92.4</v>
      </c>
      <c r="U19" s="9">
        <v>83.6</v>
      </c>
      <c r="V19" s="14">
        <f t="shared" si="7"/>
        <v>10</v>
      </c>
      <c r="W19" s="12">
        <f t="shared" si="8"/>
        <v>0.1068376068</v>
      </c>
      <c r="X19" s="14">
        <f t="shared" si="3"/>
        <v>1.2</v>
      </c>
      <c r="Y19" s="13">
        <f t="shared" si="4"/>
        <v>8</v>
      </c>
      <c r="Z19" s="12">
        <f t="shared" si="5"/>
        <v>0.01282051282</v>
      </c>
      <c r="AA19" s="13">
        <f t="shared" si="6"/>
        <v>8</v>
      </c>
    </row>
    <row r="23">
      <c r="B23" s="1" t="s">
        <v>40</v>
      </c>
      <c r="I23" s="9">
        <v>66.5</v>
      </c>
      <c r="J23" s="9">
        <v>63.8</v>
      </c>
      <c r="K23" s="9"/>
      <c r="L2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0.5"/>
    <col customWidth="1" min="19" max="19" width="14.13"/>
  </cols>
  <sheetData>
    <row r="4">
      <c r="C4" s="13" t="str">
        <f>'2026 tavasz'!C4</f>
        <v>4. hét</v>
      </c>
      <c r="D4" s="13" t="str">
        <f>'2026 tavasz'!D4</f>
        <v>5. hét</v>
      </c>
      <c r="E4" s="13" t="str">
        <f>'2026 tavasz'!E4</f>
        <v>6 .hét</v>
      </c>
      <c r="F4" s="13" t="str">
        <f>'2026 tavasz'!F4</f>
        <v>7. hét</v>
      </c>
      <c r="G4" s="13" t="str">
        <f>'2026 tavasz'!G4</f>
        <v>8. hét</v>
      </c>
      <c r="H4" s="13" t="str">
        <f>'2026 tavasz'!H4</f>
        <v>9 .hét</v>
      </c>
      <c r="I4" s="13" t="str">
        <f>'2026 tavasz'!I4</f>
        <v>10. hét</v>
      </c>
      <c r="J4" s="13" t="str">
        <f>'2026 tavasz'!J4</f>
        <v>11. hét</v>
      </c>
      <c r="K4" s="13" t="str">
        <f>'2026 tavasz'!K4</f>
        <v>12 .hét</v>
      </c>
      <c r="L4" s="13" t="str">
        <f>'2026 tavasz'!L4</f>
        <v>13. hét</v>
      </c>
      <c r="M4" s="13" t="str">
        <f>'2026 tavasz'!M4</f>
        <v>14. hét</v>
      </c>
      <c r="N4" s="13" t="str">
        <f>'2026 tavasz'!N4</f>
        <v>15 .hét</v>
      </c>
      <c r="O4" s="13" t="str">
        <f>'2026 tavasz'!O4</f>
        <v>16. hét</v>
      </c>
      <c r="P4" s="13" t="str">
        <f>'2026 tavasz'!P4</f>
        <v>17. hét</v>
      </c>
      <c r="Q4" s="13" t="str">
        <f>'2026 tavasz'!Q4</f>
        <v>18 .hét</v>
      </c>
      <c r="R4" s="13" t="str">
        <f>'2026 tavasz'!U4</f>
        <v/>
      </c>
      <c r="S4" s="1" t="s">
        <v>41</v>
      </c>
    </row>
    <row r="5">
      <c r="B5" s="13" t="str">
        <f>'2026 tavasz'!B5</f>
        <v>Barcsik Kristóf</v>
      </c>
      <c r="C5" s="14">
        <f>'2026 tavasz'!C5</f>
        <v>116.1</v>
      </c>
      <c r="D5" s="15">
        <f>'2026 tavasz'!D5</f>
        <v>116.1</v>
      </c>
      <c r="E5" s="15">
        <f>'2026 tavasz'!E5</f>
        <v>116.1</v>
      </c>
      <c r="F5" s="15">
        <f>'2026 tavasz'!F5</f>
        <v>113.4</v>
      </c>
      <c r="G5" s="15">
        <f>'2026 tavasz'!G5</f>
        <v>113.6</v>
      </c>
      <c r="H5" s="15">
        <f>'2026 tavasz'!H5</f>
        <v>113</v>
      </c>
      <c r="I5" s="15">
        <f>'2026 tavasz'!I5</f>
        <v>113.5</v>
      </c>
      <c r="J5" s="15">
        <f>'2026 tavasz'!J5</f>
        <v>113.5</v>
      </c>
      <c r="K5" s="15" t="str">
        <f>'2026 tavasz'!K5</f>
        <v/>
      </c>
      <c r="L5" s="15" t="str">
        <f>'2026 tavasz'!L5</f>
        <v/>
      </c>
      <c r="M5" s="15" t="str">
        <f>'2026 tavasz'!M5</f>
        <v/>
      </c>
      <c r="N5" s="15" t="str">
        <f>'2026 tavasz'!N5</f>
        <v/>
      </c>
      <c r="O5" s="15" t="str">
        <f>'2026 tavasz'!O5</f>
        <v/>
      </c>
      <c r="P5" s="15" t="str">
        <f>'2026 tavasz'!P5</f>
        <v/>
      </c>
      <c r="Q5" s="15" t="str">
        <f>'2026 tavasz'!Q5</f>
        <v/>
      </c>
      <c r="R5" s="15" t="str">
        <f>'2026 tavasz'!R5</f>
        <v/>
      </c>
      <c r="S5" s="15">
        <f t="shared" ref="S5:S17" si="1">C5-R5</f>
        <v>116.1</v>
      </c>
    </row>
    <row r="6">
      <c r="B6" s="13" t="str">
        <f>'2026 tavasz'!B6</f>
        <v>Galgóczy Ádám</v>
      </c>
      <c r="C6" s="14">
        <f>'2026 tavasz'!C6</f>
        <v>101.5</v>
      </c>
      <c r="D6" s="15">
        <f>'2026 tavasz'!D6</f>
        <v>101.7</v>
      </c>
      <c r="E6" s="15">
        <f>'2026 tavasz'!E6</f>
        <v>100.9</v>
      </c>
      <c r="F6" s="15">
        <f>'2026 tavasz'!F6</f>
        <v>101.1</v>
      </c>
      <c r="G6" s="15">
        <f>'2026 tavasz'!G6</f>
        <v>101</v>
      </c>
      <c r="H6" s="15">
        <f>'2026 tavasz'!H6</f>
        <v>102</v>
      </c>
      <c r="I6" s="15">
        <f>'2026 tavasz'!I6</f>
        <v>101.6</v>
      </c>
      <c r="J6" s="15">
        <f>'2026 tavasz'!J6</f>
        <v>102.4</v>
      </c>
      <c r="K6" s="15" t="str">
        <f>'2026 tavasz'!K6</f>
        <v/>
      </c>
      <c r="L6" s="15" t="str">
        <f>'2026 tavasz'!L6</f>
        <v/>
      </c>
      <c r="M6" s="15" t="str">
        <f>'2026 tavasz'!M6</f>
        <v/>
      </c>
      <c r="N6" s="15" t="str">
        <f>'2026 tavasz'!N6</f>
        <v/>
      </c>
      <c r="O6" s="15" t="str">
        <f>'2026 tavasz'!O6</f>
        <v/>
      </c>
      <c r="P6" s="15" t="str">
        <f>'2026 tavasz'!P6</f>
        <v/>
      </c>
      <c r="Q6" s="15" t="str">
        <f>'2026 tavasz'!Q6</f>
        <v/>
      </c>
      <c r="R6" s="15" t="str">
        <f>'2026 tavasz'!R6</f>
        <v/>
      </c>
      <c r="S6" s="15">
        <f t="shared" si="1"/>
        <v>101.5</v>
      </c>
    </row>
    <row r="7">
      <c r="B7" s="13" t="str">
        <f>'2026 tavasz'!B7</f>
        <v>Jávor Tamás</v>
      </c>
      <c r="C7" s="14">
        <f>'2026 tavasz'!C7</f>
        <v>116.3</v>
      </c>
      <c r="D7" s="15">
        <f>'2026 tavasz'!D7</f>
        <v>116</v>
      </c>
      <c r="E7" s="15">
        <f>'2026 tavasz'!E7</f>
        <v>114</v>
      </c>
      <c r="F7" s="15">
        <f>'2026 tavasz'!F7</f>
        <v>114.3</v>
      </c>
      <c r="G7" s="15">
        <f>'2026 tavasz'!G7</f>
        <v>112.6</v>
      </c>
      <c r="H7" s="15">
        <f>'2026 tavasz'!H7</f>
        <v>113.6</v>
      </c>
      <c r="I7" s="15">
        <f>'2026 tavasz'!I7</f>
        <v>112.4</v>
      </c>
      <c r="J7" s="15">
        <f>'2026 tavasz'!J7</f>
        <v>112</v>
      </c>
      <c r="K7" s="15" t="str">
        <f>'2026 tavasz'!K7</f>
        <v/>
      </c>
      <c r="L7" s="15" t="str">
        <f>'2026 tavasz'!L7</f>
        <v/>
      </c>
      <c r="M7" s="15" t="str">
        <f>'2026 tavasz'!M7</f>
        <v/>
      </c>
      <c r="N7" s="15" t="str">
        <f>'2026 tavasz'!N7</f>
        <v/>
      </c>
      <c r="O7" s="15" t="str">
        <f>'2026 tavasz'!O7</f>
        <v/>
      </c>
      <c r="P7" s="15" t="str">
        <f>'2026 tavasz'!P7</f>
        <v/>
      </c>
      <c r="Q7" s="15" t="str">
        <f>'2026 tavasz'!Q7</f>
        <v/>
      </c>
      <c r="R7" s="15" t="str">
        <f>'2026 tavasz'!R7</f>
        <v/>
      </c>
      <c r="S7" s="15">
        <f t="shared" si="1"/>
        <v>116.3</v>
      </c>
    </row>
    <row r="8">
      <c r="B8" s="13" t="str">
        <f>'2026 tavasz'!B8</f>
        <v>Krekuska Gábor</v>
      </c>
      <c r="C8" s="14">
        <f>'2026 tavasz'!C8</f>
        <v>87.7</v>
      </c>
      <c r="D8" s="15">
        <f>'2026 tavasz'!D8</f>
        <v>88</v>
      </c>
      <c r="E8" s="15">
        <f>'2026 tavasz'!E8</f>
        <v>88</v>
      </c>
      <c r="F8" s="15">
        <f>'2026 tavasz'!F8</f>
        <v>87.7</v>
      </c>
      <c r="G8" s="15">
        <f>'2026 tavasz'!G8</f>
        <v>87.7</v>
      </c>
      <c r="H8" s="15">
        <f>'2026 tavasz'!H8</f>
        <v>87.2</v>
      </c>
      <c r="I8" s="15">
        <f>'2026 tavasz'!I8</f>
        <v>88</v>
      </c>
      <c r="J8" s="15">
        <f>'2026 tavasz'!J8</f>
        <v>87.3</v>
      </c>
      <c r="K8" s="15" t="str">
        <f>'2026 tavasz'!K8</f>
        <v/>
      </c>
      <c r="L8" s="15" t="str">
        <f>'2026 tavasz'!L8</f>
        <v/>
      </c>
      <c r="M8" s="15" t="str">
        <f>'2026 tavasz'!M8</f>
        <v/>
      </c>
      <c r="N8" s="15" t="str">
        <f>'2026 tavasz'!N8</f>
        <v/>
      </c>
      <c r="O8" s="15" t="str">
        <f>'2026 tavasz'!O8</f>
        <v/>
      </c>
      <c r="P8" s="15" t="str">
        <f>'2026 tavasz'!P8</f>
        <v/>
      </c>
      <c r="Q8" s="15" t="str">
        <f>'2026 tavasz'!Q8</f>
        <v/>
      </c>
      <c r="R8" s="15" t="str">
        <f>'2026 tavasz'!R8</f>
        <v/>
      </c>
      <c r="S8" s="15">
        <f t="shared" si="1"/>
        <v>87.7</v>
      </c>
    </row>
    <row r="9">
      <c r="B9" s="13" t="str">
        <f>'2026 tavasz'!B9</f>
        <v>Molnár György</v>
      </c>
      <c r="C9" s="14">
        <f>'2026 tavasz'!C9</f>
        <v>88.3</v>
      </c>
      <c r="D9" s="15">
        <f>'2026 tavasz'!D9</f>
        <v>87.2</v>
      </c>
      <c r="E9" s="15">
        <f>'2026 tavasz'!E9</f>
        <v>86.1</v>
      </c>
      <c r="F9" s="15">
        <f>'2026 tavasz'!F9</f>
        <v>85.6</v>
      </c>
      <c r="G9" s="15">
        <f>'2026 tavasz'!G9</f>
        <v>84.7</v>
      </c>
      <c r="H9" s="15">
        <f>'2026 tavasz'!H9</f>
        <v>83.8</v>
      </c>
      <c r="I9" s="15">
        <f>'2026 tavasz'!I9</f>
        <v>85</v>
      </c>
      <c r="J9" s="15">
        <f>'2026 tavasz'!J9</f>
        <v>83.8</v>
      </c>
      <c r="K9" s="15" t="str">
        <f>'2026 tavasz'!K9</f>
        <v/>
      </c>
      <c r="L9" s="15" t="str">
        <f>'2026 tavasz'!L9</f>
        <v/>
      </c>
      <c r="M9" s="15" t="str">
        <f>'2026 tavasz'!M9</f>
        <v/>
      </c>
      <c r="N9" s="15" t="str">
        <f>'2026 tavasz'!N9</f>
        <v/>
      </c>
      <c r="O9" s="15" t="str">
        <f>'2026 tavasz'!O9</f>
        <v/>
      </c>
      <c r="P9" s="15" t="str">
        <f>'2026 tavasz'!P9</f>
        <v/>
      </c>
      <c r="Q9" s="15" t="str">
        <f>'2026 tavasz'!Q9</f>
        <v/>
      </c>
      <c r="R9" s="15" t="str">
        <f>'2026 tavasz'!R9</f>
        <v/>
      </c>
      <c r="S9" s="15">
        <f t="shared" si="1"/>
        <v>88.3</v>
      </c>
    </row>
    <row r="10">
      <c r="B10" s="13" t="str">
        <f>'2026 tavasz'!B10</f>
        <v>Varga Szabolcs</v>
      </c>
      <c r="C10" s="14">
        <f>'2026 tavasz'!C10</f>
        <v>105.3</v>
      </c>
      <c r="D10" s="15">
        <f>'2026 tavasz'!D10</f>
        <v>104</v>
      </c>
      <c r="E10" s="15">
        <f>'2026 tavasz'!E10</f>
        <v>104</v>
      </c>
      <c r="F10" s="15">
        <f>'2026 tavasz'!F10</f>
        <v>102.6</v>
      </c>
      <c r="G10" s="15">
        <f>'2026 tavasz'!G10</f>
        <v>101.9</v>
      </c>
      <c r="H10" s="15">
        <f>'2026 tavasz'!H10</f>
        <v>102.3</v>
      </c>
      <c r="I10" s="15">
        <f>'2026 tavasz'!I10</f>
        <v>102.3</v>
      </c>
      <c r="J10" s="15">
        <f>'2026 tavasz'!J10</f>
        <v>101.3</v>
      </c>
      <c r="K10" s="15" t="str">
        <f>'2026 tavasz'!K10</f>
        <v/>
      </c>
      <c r="L10" s="15" t="str">
        <f>'2026 tavasz'!L10</f>
        <v/>
      </c>
      <c r="M10" s="15" t="str">
        <f>'2026 tavasz'!M10</f>
        <v/>
      </c>
      <c r="N10" s="15" t="str">
        <f>'2026 tavasz'!N10</f>
        <v/>
      </c>
      <c r="O10" s="15" t="str">
        <f>'2026 tavasz'!O10</f>
        <v/>
      </c>
      <c r="P10" s="15" t="str">
        <f>'2026 tavasz'!P10</f>
        <v/>
      </c>
      <c r="Q10" s="15" t="str">
        <f>'2026 tavasz'!Q10</f>
        <v/>
      </c>
      <c r="R10" s="15" t="str">
        <f>'2026 tavasz'!R10</f>
        <v/>
      </c>
      <c r="S10" s="15">
        <f t="shared" si="1"/>
        <v>105.3</v>
      </c>
    </row>
    <row r="11">
      <c r="B11" s="13" t="str">
        <f>'2026 tavasz'!B11</f>
        <v>Vaspál Gergő</v>
      </c>
      <c r="C11" s="14">
        <f>'2026 tavasz'!C11</f>
        <v>92.3</v>
      </c>
      <c r="D11" s="15">
        <f>'2026 tavasz'!D11</f>
        <v>92.2</v>
      </c>
      <c r="E11" s="15">
        <f>'2026 tavasz'!E11</f>
        <v>91.8</v>
      </c>
      <c r="F11" s="15">
        <f>'2026 tavasz'!F11</f>
        <v>92.9</v>
      </c>
      <c r="G11" s="15">
        <f>'2026 tavasz'!G11</f>
        <v>93.3</v>
      </c>
      <c r="H11" s="15">
        <f>'2026 tavasz'!H11</f>
        <v>91.9</v>
      </c>
      <c r="I11" s="15">
        <f>'2026 tavasz'!I11</f>
        <v>92.5</v>
      </c>
      <c r="J11" s="15">
        <f>'2026 tavasz'!J11</f>
        <v>92.5</v>
      </c>
      <c r="K11" s="15" t="str">
        <f>'2026 tavasz'!K11</f>
        <v/>
      </c>
      <c r="L11" s="15" t="str">
        <f>'2026 tavasz'!L11</f>
        <v/>
      </c>
      <c r="M11" s="15" t="str">
        <f>'2026 tavasz'!M11</f>
        <v/>
      </c>
      <c r="N11" s="15" t="str">
        <f>'2026 tavasz'!N11</f>
        <v/>
      </c>
      <c r="O11" s="15" t="str">
        <f>'2026 tavasz'!O11</f>
        <v/>
      </c>
      <c r="P11" s="15" t="str">
        <f>'2026 tavasz'!P11</f>
        <v/>
      </c>
      <c r="Q11" s="15" t="str">
        <f>'2026 tavasz'!Q11</f>
        <v/>
      </c>
      <c r="R11" s="15" t="str">
        <f>'2026 tavasz'!R11</f>
        <v/>
      </c>
      <c r="S11" s="15">
        <f t="shared" si="1"/>
        <v>92.3</v>
      </c>
    </row>
    <row r="12">
      <c r="B12" s="13" t="str">
        <f>'2026 tavasz'!B12</f>
        <v>Várnoki Ádám</v>
      </c>
      <c r="C12" s="14">
        <f>'2026 tavasz'!C12</f>
        <v>108.4</v>
      </c>
      <c r="D12" s="15">
        <f>'2026 tavasz'!D12</f>
        <v>107</v>
      </c>
      <c r="E12" s="15">
        <f>'2026 tavasz'!E12</f>
        <v>107.4</v>
      </c>
      <c r="F12" s="15">
        <f>'2026 tavasz'!F12</f>
        <v>106.5</v>
      </c>
      <c r="G12" s="15">
        <f>'2026 tavasz'!G12</f>
        <v>104</v>
      </c>
      <c r="H12" s="15">
        <f>'2026 tavasz'!H12</f>
        <v>102.9</v>
      </c>
      <c r="I12" s="15">
        <f>'2026 tavasz'!I12</f>
        <v>103</v>
      </c>
      <c r="J12" s="15">
        <f>'2026 tavasz'!J12</f>
        <v>101.9</v>
      </c>
      <c r="K12" s="15" t="str">
        <f>'2026 tavasz'!K12</f>
        <v/>
      </c>
      <c r="L12" s="15" t="str">
        <f>'2026 tavasz'!L12</f>
        <v/>
      </c>
      <c r="M12" s="15" t="str">
        <f>'2026 tavasz'!M12</f>
        <v/>
      </c>
      <c r="N12" s="15" t="str">
        <f>'2026 tavasz'!N12</f>
        <v/>
      </c>
      <c r="O12" s="15" t="str">
        <f>'2026 tavasz'!O12</f>
        <v/>
      </c>
      <c r="P12" s="15" t="str">
        <f>'2026 tavasz'!P12</f>
        <v/>
      </c>
      <c r="Q12" s="15" t="str">
        <f>'2026 tavasz'!Q12</f>
        <v/>
      </c>
      <c r="R12" s="15" t="str">
        <f>'2026 tavasz'!R12</f>
        <v/>
      </c>
      <c r="S12" s="15">
        <f t="shared" si="1"/>
        <v>108.4</v>
      </c>
    </row>
    <row r="13">
      <c r="B13" s="13" t="str">
        <f>'2026 tavasz'!B13</f>
        <v>Szikora István</v>
      </c>
      <c r="C13" s="14">
        <f>'2026 tavasz'!C13</f>
        <v>102.1</v>
      </c>
      <c r="D13" s="15">
        <f>'2026 tavasz'!D13</f>
        <v>102.2</v>
      </c>
      <c r="E13" s="15">
        <f>'2026 tavasz'!E13</f>
        <v>102.8</v>
      </c>
      <c r="F13" s="15">
        <f>'2026 tavasz'!F13</f>
        <v>101.7</v>
      </c>
      <c r="G13" s="15">
        <f>'2026 tavasz'!G13</f>
        <v>101</v>
      </c>
      <c r="H13" s="15">
        <f>'2026 tavasz'!H13</f>
        <v>100.3</v>
      </c>
      <c r="I13" s="15">
        <f>'2026 tavasz'!I13</f>
        <v>99.9</v>
      </c>
      <c r="J13" s="15">
        <f>'2026 tavasz'!J13</f>
        <v>99.4</v>
      </c>
      <c r="K13" s="15" t="str">
        <f>'2026 tavasz'!K13</f>
        <v/>
      </c>
      <c r="L13" s="15" t="str">
        <f>'2026 tavasz'!L13</f>
        <v/>
      </c>
      <c r="M13" s="15" t="str">
        <f>'2026 tavasz'!M13</f>
        <v/>
      </c>
      <c r="N13" s="15" t="str">
        <f>'2026 tavasz'!N13</f>
        <v/>
      </c>
      <c r="O13" s="15" t="str">
        <f>'2026 tavasz'!O13</f>
        <v/>
      </c>
      <c r="P13" s="15" t="str">
        <f>'2026 tavasz'!P13</f>
        <v/>
      </c>
      <c r="Q13" s="15" t="str">
        <f>'2026 tavasz'!Q13</f>
        <v/>
      </c>
      <c r="R13" s="15" t="str">
        <f>'2026 tavasz'!R13</f>
        <v/>
      </c>
      <c r="S13" s="15">
        <f t="shared" si="1"/>
        <v>102.1</v>
      </c>
    </row>
    <row r="14">
      <c r="B14" s="13" t="str">
        <f>'2026 tavasz'!B14</f>
        <v>Kováts Tibor</v>
      </c>
      <c r="C14" s="14">
        <f>'2026 tavasz'!C14</f>
        <v>97.2</v>
      </c>
      <c r="D14" s="15">
        <f>'2026 tavasz'!D14</f>
        <v>97.7</v>
      </c>
      <c r="E14" s="15">
        <f>'2026 tavasz'!E14</f>
        <v>97.7</v>
      </c>
      <c r="F14" s="15">
        <f>'2026 tavasz'!F14</f>
        <v>96.9</v>
      </c>
      <c r="G14" s="15">
        <f>'2026 tavasz'!G14</f>
        <v>97.5</v>
      </c>
      <c r="H14" s="15">
        <f>'2026 tavasz'!H14</f>
        <v>97.5</v>
      </c>
      <c r="I14" s="15">
        <f>'2026 tavasz'!I14</f>
        <v>97.6</v>
      </c>
      <c r="J14" s="15">
        <f>'2026 tavasz'!J14</f>
        <v>97.2</v>
      </c>
      <c r="K14" s="15" t="str">
        <f>'2026 tavasz'!K14</f>
        <v/>
      </c>
      <c r="L14" s="15" t="str">
        <f>'2026 tavasz'!L14</f>
        <v/>
      </c>
      <c r="M14" s="15" t="str">
        <f>'2026 tavasz'!M14</f>
        <v/>
      </c>
      <c r="N14" s="15" t="str">
        <f>'2026 tavasz'!N14</f>
        <v/>
      </c>
      <c r="O14" s="15" t="str">
        <f>'2026 tavasz'!O14</f>
        <v/>
      </c>
      <c r="P14" s="15" t="str">
        <f>'2026 tavasz'!P14</f>
        <v/>
      </c>
      <c r="Q14" s="15" t="str">
        <f>'2026 tavasz'!Q14</f>
        <v/>
      </c>
      <c r="S14" s="15">
        <f t="shared" si="1"/>
        <v>97.2</v>
      </c>
    </row>
    <row r="15">
      <c r="B15" s="13" t="str">
        <f>'2026 tavasz'!B15</f>
        <v>Zorván Zoárd</v>
      </c>
      <c r="C15" s="14">
        <f>'2026 tavasz'!C15</f>
        <v>80.1</v>
      </c>
      <c r="D15" s="15">
        <f>'2026 tavasz'!D15</f>
        <v>79.9</v>
      </c>
      <c r="E15" s="15">
        <f>'2026 tavasz'!E15</f>
        <v>79.5</v>
      </c>
      <c r="F15" s="15">
        <f>'2026 tavasz'!F15</f>
        <v>77.3</v>
      </c>
      <c r="G15" s="15">
        <f>'2026 tavasz'!G15</f>
        <v>77.7</v>
      </c>
      <c r="H15" s="15">
        <f>'2026 tavasz'!H15</f>
        <v>75.7</v>
      </c>
      <c r="I15" s="15">
        <f>'2026 tavasz'!I15</f>
        <v>75.2</v>
      </c>
      <c r="J15" s="15">
        <f>'2026 tavasz'!J15</f>
        <v>75.4</v>
      </c>
      <c r="K15" s="15" t="str">
        <f>'2026 tavasz'!K15</f>
        <v/>
      </c>
      <c r="L15" s="15" t="str">
        <f>'2026 tavasz'!L15</f>
        <v/>
      </c>
      <c r="M15" s="15" t="str">
        <f>'2026 tavasz'!M15</f>
        <v/>
      </c>
      <c r="N15" s="15" t="str">
        <f>'2026 tavasz'!N15</f>
        <v/>
      </c>
      <c r="O15" s="15" t="str">
        <f>'2026 tavasz'!O15</f>
        <v/>
      </c>
      <c r="P15" s="15" t="str">
        <f>'2026 tavasz'!P15</f>
        <v/>
      </c>
      <c r="Q15" s="15" t="str">
        <f>'2026 tavasz'!Q15</f>
        <v/>
      </c>
      <c r="S15" s="15">
        <f t="shared" si="1"/>
        <v>80.1</v>
      </c>
    </row>
    <row r="16">
      <c r="B16" s="13" t="str">
        <f>'2026 tavasz'!B16</f>
        <v>Beötthy Tímea</v>
      </c>
      <c r="C16" s="14">
        <f>'2026 tavasz'!C16</f>
        <v>63.1</v>
      </c>
      <c r="D16" s="15">
        <f>'2026 tavasz'!D16</f>
        <v>63.1</v>
      </c>
      <c r="E16" s="15">
        <f>'2026 tavasz'!E16</f>
        <v>63.1</v>
      </c>
      <c r="F16" s="15">
        <f>'2026 tavasz'!F16</f>
        <v>63.4</v>
      </c>
      <c r="G16" s="15">
        <f>'2026 tavasz'!G16</f>
        <v>62.7</v>
      </c>
      <c r="H16" s="15">
        <f>'2026 tavasz'!H16</f>
        <v>61.7</v>
      </c>
      <c r="I16" s="15">
        <f>'2026 tavasz'!I16</f>
        <v>61.9</v>
      </c>
      <c r="J16" s="15">
        <f>'2026 tavasz'!J16</f>
        <v>63</v>
      </c>
      <c r="K16" s="15" t="str">
        <f>'2026 tavasz'!K16</f>
        <v/>
      </c>
      <c r="L16" s="15" t="str">
        <f>'2026 tavasz'!L16</f>
        <v/>
      </c>
      <c r="M16" s="15" t="str">
        <f>'2026 tavasz'!M16</f>
        <v/>
      </c>
      <c r="N16" s="15" t="str">
        <f>'2026 tavasz'!N16</f>
        <v/>
      </c>
      <c r="O16" s="15" t="str">
        <f>'2026 tavasz'!O16</f>
        <v/>
      </c>
      <c r="P16" s="15" t="str">
        <f>'2026 tavasz'!P16</f>
        <v/>
      </c>
      <c r="Q16" s="15" t="str">
        <f>'2026 tavasz'!Q16</f>
        <v/>
      </c>
      <c r="S16" s="15">
        <f t="shared" si="1"/>
        <v>63.1</v>
      </c>
    </row>
    <row r="17">
      <c r="B17" s="13" t="str">
        <f>'2026 tavasz'!B17</f>
        <v>Kellős György</v>
      </c>
      <c r="C17" s="14">
        <f>'2026 tavasz'!C17</f>
        <v>68.6</v>
      </c>
      <c r="D17" s="15">
        <f>'2026 tavasz'!D17</f>
        <v>68.4</v>
      </c>
      <c r="E17" s="15">
        <f>'2026 tavasz'!E17</f>
        <v>69.2</v>
      </c>
      <c r="F17" s="15">
        <f>'2026 tavasz'!F17</f>
        <v>69.7</v>
      </c>
      <c r="G17" s="15">
        <f>'2026 tavasz'!G17</f>
        <v>69.4</v>
      </c>
      <c r="H17" s="15">
        <f>'2026 tavasz'!H17</f>
        <v>69.9</v>
      </c>
      <c r="I17" s="15">
        <f>'2026 tavasz'!I17</f>
        <v>68.9</v>
      </c>
      <c r="J17" s="15">
        <f>'2026 tavasz'!J17</f>
        <v>69.6</v>
      </c>
      <c r="K17" s="15" t="str">
        <f>'2026 tavasz'!K17</f>
        <v/>
      </c>
      <c r="L17" s="15" t="str">
        <f>'2026 tavasz'!L17</f>
        <v/>
      </c>
      <c r="M17" s="15" t="str">
        <f>'2026 tavasz'!M17</f>
        <v/>
      </c>
      <c r="N17" s="15" t="str">
        <f>'2026 tavasz'!N17</f>
        <v/>
      </c>
      <c r="O17" s="15" t="str">
        <f>'2026 tavasz'!O17</f>
        <v/>
      </c>
      <c r="P17" s="15" t="str">
        <f>'2026 tavasz'!P17</f>
        <v/>
      </c>
      <c r="Q17" s="15" t="str">
        <f>'2026 tavasz'!Q17</f>
        <v/>
      </c>
      <c r="S17" s="15">
        <f t="shared" si="1"/>
        <v>68.6</v>
      </c>
    </row>
    <row r="18">
      <c r="B18" s="13" t="str">
        <f>'2026 tavasz'!B18</f>
        <v>Jákob Tamás</v>
      </c>
      <c r="C18" s="14">
        <f>'2026 tavasz'!C18</f>
        <v>103</v>
      </c>
      <c r="D18" s="15">
        <f>'2026 tavasz'!D18</f>
        <v>103</v>
      </c>
      <c r="E18" s="15">
        <f>'2026 tavasz'!E18</f>
        <v>103</v>
      </c>
      <c r="F18" s="15">
        <f>'2026 tavasz'!F18</f>
        <v>103</v>
      </c>
      <c r="G18" s="15">
        <f>'2026 tavasz'!G18</f>
        <v>103</v>
      </c>
      <c r="H18" s="15">
        <f>'2026 tavasz'!H18</f>
        <v>103</v>
      </c>
      <c r="I18" s="15">
        <f>'2026 tavasz'!I18</f>
        <v>103</v>
      </c>
      <c r="J18" s="15">
        <f>'2026 tavasz'!J18</f>
        <v>102.2</v>
      </c>
      <c r="S18" s="15"/>
    </row>
    <row r="19">
      <c r="B19" s="13" t="str">
        <f>'2026 tavasz'!B19</f>
        <v>Tóth Roland</v>
      </c>
      <c r="C19" s="14">
        <f>'2026 tavasz'!C19</f>
        <v>93.6</v>
      </c>
      <c r="D19" s="15">
        <f>'2026 tavasz'!D19</f>
        <v>93.6</v>
      </c>
      <c r="E19" s="15">
        <f>'2026 tavasz'!E19</f>
        <v>93.6</v>
      </c>
      <c r="F19" s="15">
        <f>'2026 tavasz'!F19</f>
        <v>93.6</v>
      </c>
      <c r="G19" s="15">
        <f>'2026 tavasz'!G19</f>
        <v>93.6</v>
      </c>
      <c r="H19" s="15">
        <f>'2026 tavasz'!H19</f>
        <v>93.6</v>
      </c>
      <c r="I19" s="15">
        <f>'2026 tavasz'!I19</f>
        <v>93.6</v>
      </c>
      <c r="J19" s="15">
        <f>'2026 tavasz'!J19</f>
        <v>92.4</v>
      </c>
    </row>
    <row r="21">
      <c r="C21" s="13" t="str">
        <f t="shared" ref="C21:R21" si="2">C4</f>
        <v>4. hét</v>
      </c>
      <c r="D21" s="13" t="str">
        <f t="shared" si="2"/>
        <v>5. hét</v>
      </c>
      <c r="E21" s="13" t="str">
        <f t="shared" si="2"/>
        <v>6 .hét</v>
      </c>
      <c r="F21" s="13" t="str">
        <f t="shared" si="2"/>
        <v>7. hét</v>
      </c>
      <c r="G21" s="13" t="str">
        <f t="shared" si="2"/>
        <v>8. hét</v>
      </c>
      <c r="H21" s="13" t="str">
        <f t="shared" si="2"/>
        <v>9 .hét</v>
      </c>
      <c r="I21" s="13" t="str">
        <f t="shared" si="2"/>
        <v>10. hét</v>
      </c>
      <c r="J21" s="13" t="str">
        <f t="shared" si="2"/>
        <v>11. hét</v>
      </c>
      <c r="K21" s="13" t="str">
        <f t="shared" si="2"/>
        <v>12 .hét</v>
      </c>
      <c r="L21" s="13" t="str">
        <f t="shared" si="2"/>
        <v>13. hét</v>
      </c>
      <c r="M21" s="13" t="str">
        <f t="shared" si="2"/>
        <v>14. hét</v>
      </c>
      <c r="N21" s="13" t="str">
        <f t="shared" si="2"/>
        <v>15 .hét</v>
      </c>
      <c r="O21" s="13" t="str">
        <f t="shared" si="2"/>
        <v>16. hét</v>
      </c>
      <c r="P21" s="13" t="str">
        <f t="shared" si="2"/>
        <v>17. hét</v>
      </c>
      <c r="Q21" s="13" t="str">
        <f t="shared" si="2"/>
        <v>18 .hét</v>
      </c>
      <c r="R21" s="13" t="str">
        <f t="shared" si="2"/>
        <v/>
      </c>
    </row>
    <row r="22">
      <c r="B22" s="13" t="s">
        <v>25</v>
      </c>
      <c r="C22" s="16">
        <v>0.0</v>
      </c>
      <c r="D22" s="12">
        <f t="shared" ref="D22:R22" si="3">IF(D5="","",(D5-$C5)/$C5)</f>
        <v>0</v>
      </c>
      <c r="E22" s="12">
        <f t="shared" si="3"/>
        <v>0</v>
      </c>
      <c r="F22" s="12">
        <f t="shared" si="3"/>
        <v>-0.02325581395</v>
      </c>
      <c r="G22" s="12">
        <f t="shared" si="3"/>
        <v>-0.02153316107</v>
      </c>
      <c r="H22" s="12">
        <f t="shared" si="3"/>
        <v>-0.02670111972</v>
      </c>
      <c r="I22" s="12">
        <f t="shared" si="3"/>
        <v>-0.02239448751</v>
      </c>
      <c r="J22" s="12">
        <f t="shared" si="3"/>
        <v>-0.02239448751</v>
      </c>
      <c r="K22" s="12" t="str">
        <f t="shared" si="3"/>
        <v/>
      </c>
      <c r="L22" s="12" t="str">
        <f t="shared" si="3"/>
        <v/>
      </c>
      <c r="M22" s="12" t="str">
        <f t="shared" si="3"/>
        <v/>
      </c>
      <c r="N22" s="12" t="str">
        <f t="shared" si="3"/>
        <v/>
      </c>
      <c r="O22" s="12" t="str">
        <f t="shared" si="3"/>
        <v/>
      </c>
      <c r="P22" s="12" t="str">
        <f t="shared" si="3"/>
        <v/>
      </c>
      <c r="Q22" s="12" t="str">
        <f t="shared" si="3"/>
        <v/>
      </c>
      <c r="R22" s="12" t="str">
        <f t="shared" si="3"/>
        <v/>
      </c>
      <c r="S22" s="12"/>
    </row>
    <row r="23">
      <c r="B23" s="13" t="s">
        <v>26</v>
      </c>
      <c r="C23" s="16">
        <v>0.0</v>
      </c>
      <c r="D23" s="12">
        <f t="shared" ref="D23:R23" si="4">IF(D6="","",(D6-$C6)/$C6)</f>
        <v>0.00197044335</v>
      </c>
      <c r="E23" s="12">
        <f t="shared" si="4"/>
        <v>-0.005911330049</v>
      </c>
      <c r="F23" s="12">
        <f t="shared" si="4"/>
        <v>-0.0039408867</v>
      </c>
      <c r="G23" s="12">
        <f t="shared" si="4"/>
        <v>-0.004926108374</v>
      </c>
      <c r="H23" s="12">
        <f t="shared" si="4"/>
        <v>0.004926108374</v>
      </c>
      <c r="I23" s="12">
        <f t="shared" si="4"/>
        <v>0.0009852216749</v>
      </c>
      <c r="J23" s="12">
        <f t="shared" si="4"/>
        <v>0.008866995074</v>
      </c>
      <c r="K23" s="12" t="str">
        <f t="shared" si="4"/>
        <v/>
      </c>
      <c r="L23" s="12" t="str">
        <f t="shared" si="4"/>
        <v/>
      </c>
      <c r="M23" s="12" t="str">
        <f t="shared" si="4"/>
        <v/>
      </c>
      <c r="N23" s="12" t="str">
        <f t="shared" si="4"/>
        <v/>
      </c>
      <c r="O23" s="12" t="str">
        <f t="shared" si="4"/>
        <v/>
      </c>
      <c r="P23" s="12" t="str">
        <f t="shared" si="4"/>
        <v/>
      </c>
      <c r="Q23" s="12" t="str">
        <f t="shared" si="4"/>
        <v/>
      </c>
      <c r="R23" s="12" t="str">
        <f t="shared" si="4"/>
        <v/>
      </c>
      <c r="S23" s="12"/>
    </row>
    <row r="24">
      <c r="B24" s="13" t="s">
        <v>27</v>
      </c>
      <c r="C24" s="16">
        <v>0.0</v>
      </c>
      <c r="D24" s="12">
        <f t="shared" ref="D24:R24" si="5">IF(D7="","",(D7-$C7)/$C7)</f>
        <v>-0.002579535684</v>
      </c>
      <c r="E24" s="12">
        <f t="shared" si="5"/>
        <v>-0.01977644024</v>
      </c>
      <c r="F24" s="12">
        <f t="shared" si="5"/>
        <v>-0.01719690456</v>
      </c>
      <c r="G24" s="12">
        <f t="shared" si="5"/>
        <v>-0.03181427343</v>
      </c>
      <c r="H24" s="12">
        <f t="shared" si="5"/>
        <v>-0.02321582115</v>
      </c>
      <c r="I24" s="12">
        <f t="shared" si="5"/>
        <v>-0.03353396389</v>
      </c>
      <c r="J24" s="12">
        <f t="shared" si="5"/>
        <v>-0.0369733448</v>
      </c>
      <c r="K24" s="12" t="str">
        <f t="shared" si="5"/>
        <v/>
      </c>
      <c r="L24" s="12" t="str">
        <f t="shared" si="5"/>
        <v/>
      </c>
      <c r="M24" s="12" t="str">
        <f t="shared" si="5"/>
        <v/>
      </c>
      <c r="N24" s="12" t="str">
        <f t="shared" si="5"/>
        <v/>
      </c>
      <c r="O24" s="12" t="str">
        <f t="shared" si="5"/>
        <v/>
      </c>
      <c r="P24" s="12" t="str">
        <f t="shared" si="5"/>
        <v/>
      </c>
      <c r="Q24" s="12" t="str">
        <f t="shared" si="5"/>
        <v/>
      </c>
      <c r="R24" s="12" t="str">
        <f t="shared" si="5"/>
        <v/>
      </c>
      <c r="S24" s="12"/>
    </row>
    <row r="25">
      <c r="B25" s="13" t="s">
        <v>28</v>
      </c>
      <c r="C25" s="16">
        <v>0.0</v>
      </c>
      <c r="D25" s="12">
        <f t="shared" ref="D25:R25" si="6">IF(D8="","",(D8-$C8)/$C8)</f>
        <v>0.003420752566</v>
      </c>
      <c r="E25" s="12">
        <f t="shared" si="6"/>
        <v>0.003420752566</v>
      </c>
      <c r="F25" s="12">
        <f t="shared" si="6"/>
        <v>0</v>
      </c>
      <c r="G25" s="12">
        <f t="shared" si="6"/>
        <v>0</v>
      </c>
      <c r="H25" s="12">
        <f t="shared" si="6"/>
        <v>-0.005701254276</v>
      </c>
      <c r="I25" s="12">
        <f t="shared" si="6"/>
        <v>0.003420752566</v>
      </c>
      <c r="J25" s="12">
        <f t="shared" si="6"/>
        <v>-0.004561003421</v>
      </c>
      <c r="K25" s="12" t="str">
        <f t="shared" si="6"/>
        <v/>
      </c>
      <c r="L25" s="12" t="str">
        <f t="shared" si="6"/>
        <v/>
      </c>
      <c r="M25" s="12" t="str">
        <f t="shared" si="6"/>
        <v/>
      </c>
      <c r="N25" s="12" t="str">
        <f t="shared" si="6"/>
        <v/>
      </c>
      <c r="O25" s="12" t="str">
        <f t="shared" si="6"/>
        <v/>
      </c>
      <c r="P25" s="12" t="str">
        <f t="shared" si="6"/>
        <v/>
      </c>
      <c r="Q25" s="12" t="str">
        <f t="shared" si="6"/>
        <v/>
      </c>
      <c r="R25" s="12" t="str">
        <f t="shared" si="6"/>
        <v/>
      </c>
      <c r="S25" s="12"/>
    </row>
    <row r="26">
      <c r="B26" s="13" t="s">
        <v>29</v>
      </c>
      <c r="C26" s="16">
        <v>0.0</v>
      </c>
      <c r="D26" s="12">
        <f t="shared" ref="D26:R26" si="7">IF(D9="","",(D9-$C9)/$C9)</f>
        <v>-0.01245753114</v>
      </c>
      <c r="E26" s="12">
        <f t="shared" si="7"/>
        <v>-0.02491506229</v>
      </c>
      <c r="F26" s="12">
        <f t="shared" si="7"/>
        <v>-0.03057757644</v>
      </c>
      <c r="G26" s="12">
        <f t="shared" si="7"/>
        <v>-0.04077010193</v>
      </c>
      <c r="H26" s="12">
        <f t="shared" si="7"/>
        <v>-0.05096262741</v>
      </c>
      <c r="I26" s="12">
        <f t="shared" si="7"/>
        <v>-0.03737259343</v>
      </c>
      <c r="J26" s="12">
        <f t="shared" si="7"/>
        <v>-0.05096262741</v>
      </c>
      <c r="K26" s="12" t="str">
        <f t="shared" si="7"/>
        <v/>
      </c>
      <c r="L26" s="12" t="str">
        <f t="shared" si="7"/>
        <v/>
      </c>
      <c r="M26" s="12" t="str">
        <f t="shared" si="7"/>
        <v/>
      </c>
      <c r="N26" s="12" t="str">
        <f t="shared" si="7"/>
        <v/>
      </c>
      <c r="O26" s="12" t="str">
        <f t="shared" si="7"/>
        <v/>
      </c>
      <c r="P26" s="12" t="str">
        <f t="shared" si="7"/>
        <v/>
      </c>
      <c r="Q26" s="12" t="str">
        <f t="shared" si="7"/>
        <v/>
      </c>
      <c r="R26" s="12" t="str">
        <f t="shared" si="7"/>
        <v/>
      </c>
      <c r="S26" s="12"/>
    </row>
    <row r="27">
      <c r="B27" s="13" t="s">
        <v>30</v>
      </c>
      <c r="C27" s="16">
        <v>0.0</v>
      </c>
      <c r="D27" s="12">
        <f t="shared" ref="D27:R27" si="8">IF(D10="","",(D10-$C10)/$C10)</f>
        <v>-0.01234567901</v>
      </c>
      <c r="E27" s="12">
        <f t="shared" si="8"/>
        <v>-0.01234567901</v>
      </c>
      <c r="F27" s="12">
        <f t="shared" si="8"/>
        <v>-0.02564102564</v>
      </c>
      <c r="G27" s="12">
        <f t="shared" si="8"/>
        <v>-0.03228869896</v>
      </c>
      <c r="H27" s="12">
        <f t="shared" si="8"/>
        <v>-0.02849002849</v>
      </c>
      <c r="I27" s="12">
        <f t="shared" si="8"/>
        <v>-0.02849002849</v>
      </c>
      <c r="J27" s="12">
        <f t="shared" si="8"/>
        <v>-0.03798670465</v>
      </c>
      <c r="K27" s="12" t="str">
        <f t="shared" si="8"/>
        <v/>
      </c>
      <c r="L27" s="12" t="str">
        <f t="shared" si="8"/>
        <v/>
      </c>
      <c r="M27" s="12" t="str">
        <f t="shared" si="8"/>
        <v/>
      </c>
      <c r="N27" s="12" t="str">
        <f t="shared" si="8"/>
        <v/>
      </c>
      <c r="O27" s="12" t="str">
        <f t="shared" si="8"/>
        <v/>
      </c>
      <c r="P27" s="12" t="str">
        <f t="shared" si="8"/>
        <v/>
      </c>
      <c r="Q27" s="12" t="str">
        <f t="shared" si="8"/>
        <v/>
      </c>
      <c r="R27" s="12" t="str">
        <f t="shared" si="8"/>
        <v/>
      </c>
      <c r="S27" s="12"/>
    </row>
    <row r="28">
      <c r="B28" s="13" t="s">
        <v>31</v>
      </c>
      <c r="C28" s="16">
        <v>0.0</v>
      </c>
      <c r="D28" s="12">
        <f t="shared" ref="D28:R28" si="9">IF(D11="","",(D11-$C11)/$C11)</f>
        <v>-0.001083423619</v>
      </c>
      <c r="E28" s="12">
        <f t="shared" si="9"/>
        <v>-0.005417118093</v>
      </c>
      <c r="F28" s="12">
        <f t="shared" si="9"/>
        <v>0.006500541712</v>
      </c>
      <c r="G28" s="12">
        <f t="shared" si="9"/>
        <v>0.01083423619</v>
      </c>
      <c r="H28" s="12">
        <f t="shared" si="9"/>
        <v>-0.004333694475</v>
      </c>
      <c r="I28" s="12">
        <f t="shared" si="9"/>
        <v>0.002166847237</v>
      </c>
      <c r="J28" s="12">
        <f t="shared" si="9"/>
        <v>0.002166847237</v>
      </c>
      <c r="K28" s="12" t="str">
        <f t="shared" si="9"/>
        <v/>
      </c>
      <c r="L28" s="12" t="str">
        <f t="shared" si="9"/>
        <v/>
      </c>
      <c r="M28" s="12" t="str">
        <f t="shared" si="9"/>
        <v/>
      </c>
      <c r="N28" s="12" t="str">
        <f t="shared" si="9"/>
        <v/>
      </c>
      <c r="O28" s="12" t="str">
        <f t="shared" si="9"/>
        <v/>
      </c>
      <c r="P28" s="12" t="str">
        <f t="shared" si="9"/>
        <v/>
      </c>
      <c r="Q28" s="12" t="str">
        <f t="shared" si="9"/>
        <v/>
      </c>
      <c r="R28" s="12" t="str">
        <f t="shared" si="9"/>
        <v/>
      </c>
      <c r="S28" s="12"/>
    </row>
    <row r="29">
      <c r="B29" s="13" t="s">
        <v>32</v>
      </c>
      <c r="C29" s="16">
        <v>0.0</v>
      </c>
      <c r="D29" s="12">
        <f t="shared" ref="D29:R29" si="10">IF(D12="","",(D12-$C12)/$C12)</f>
        <v>-0.01291512915</v>
      </c>
      <c r="E29" s="12">
        <f t="shared" si="10"/>
        <v>-0.009225092251</v>
      </c>
      <c r="F29" s="12">
        <f t="shared" si="10"/>
        <v>-0.01752767528</v>
      </c>
      <c r="G29" s="12">
        <f t="shared" si="10"/>
        <v>-0.0405904059</v>
      </c>
      <c r="H29" s="12">
        <f t="shared" si="10"/>
        <v>-0.05073800738</v>
      </c>
      <c r="I29" s="12">
        <f t="shared" si="10"/>
        <v>-0.04981549815</v>
      </c>
      <c r="J29" s="12">
        <f t="shared" si="10"/>
        <v>-0.05996309963</v>
      </c>
      <c r="K29" s="12" t="str">
        <f t="shared" si="10"/>
        <v/>
      </c>
      <c r="L29" s="12" t="str">
        <f t="shared" si="10"/>
        <v/>
      </c>
      <c r="M29" s="12" t="str">
        <f t="shared" si="10"/>
        <v/>
      </c>
      <c r="N29" s="12" t="str">
        <f t="shared" si="10"/>
        <v/>
      </c>
      <c r="O29" s="12" t="str">
        <f t="shared" si="10"/>
        <v/>
      </c>
      <c r="P29" s="12" t="str">
        <f t="shared" si="10"/>
        <v/>
      </c>
      <c r="Q29" s="12" t="str">
        <f t="shared" si="10"/>
        <v/>
      </c>
      <c r="R29" s="12" t="str">
        <f t="shared" si="10"/>
        <v/>
      </c>
      <c r="S29" s="12"/>
      <c r="T29" s="12"/>
    </row>
    <row r="30">
      <c r="B30" s="1" t="s">
        <v>33</v>
      </c>
      <c r="C30" s="16">
        <v>0.0</v>
      </c>
      <c r="D30" s="12">
        <f t="shared" ref="D30:R30" si="11">IF(D13="","",(D13-$C13)/$C13)</f>
        <v>0.0009794319295</v>
      </c>
      <c r="E30" s="12">
        <f t="shared" si="11"/>
        <v>0.006856023506</v>
      </c>
      <c r="F30" s="12">
        <f t="shared" si="11"/>
        <v>-0.003917727718</v>
      </c>
      <c r="G30" s="12">
        <f t="shared" si="11"/>
        <v>-0.01077375122</v>
      </c>
      <c r="H30" s="12">
        <f t="shared" si="11"/>
        <v>-0.01762977473</v>
      </c>
      <c r="I30" s="12">
        <f t="shared" si="11"/>
        <v>-0.02154750245</v>
      </c>
      <c r="J30" s="12">
        <f t="shared" si="11"/>
        <v>-0.0264446621</v>
      </c>
      <c r="K30" s="12" t="str">
        <f t="shared" si="11"/>
        <v/>
      </c>
      <c r="L30" s="12" t="str">
        <f t="shared" si="11"/>
        <v/>
      </c>
      <c r="M30" s="12" t="str">
        <f t="shared" si="11"/>
        <v/>
      </c>
      <c r="N30" s="12" t="str">
        <f t="shared" si="11"/>
        <v/>
      </c>
      <c r="O30" s="12" t="str">
        <f t="shared" si="11"/>
        <v/>
      </c>
      <c r="P30" s="12" t="str">
        <f t="shared" si="11"/>
        <v/>
      </c>
      <c r="Q30" s="12" t="str">
        <f t="shared" si="11"/>
        <v/>
      </c>
      <c r="R30" s="12" t="str">
        <f t="shared" si="11"/>
        <v/>
      </c>
    </row>
    <row r="31">
      <c r="B31" s="1" t="s">
        <v>34</v>
      </c>
      <c r="C31" s="16">
        <v>0.0</v>
      </c>
      <c r="D31" s="12">
        <f t="shared" ref="D31:R31" si="12">IF(D14="","",(D14-$C14)/$C14)</f>
        <v>0.005144032922</v>
      </c>
      <c r="E31" s="12">
        <f t="shared" si="12"/>
        <v>0.005144032922</v>
      </c>
      <c r="F31" s="12">
        <f t="shared" si="12"/>
        <v>-0.003086419753</v>
      </c>
      <c r="G31" s="12">
        <f t="shared" si="12"/>
        <v>0.003086419753</v>
      </c>
      <c r="H31" s="12">
        <f t="shared" si="12"/>
        <v>0.003086419753</v>
      </c>
      <c r="I31" s="12">
        <f t="shared" si="12"/>
        <v>0.004115226337</v>
      </c>
      <c r="J31" s="12">
        <f t="shared" si="12"/>
        <v>0</v>
      </c>
      <c r="K31" s="12" t="str">
        <f t="shared" si="12"/>
        <v/>
      </c>
      <c r="L31" s="12" t="str">
        <f t="shared" si="12"/>
        <v/>
      </c>
      <c r="M31" s="12" t="str">
        <f t="shared" si="12"/>
        <v/>
      </c>
      <c r="N31" s="12" t="str">
        <f t="shared" si="12"/>
        <v/>
      </c>
      <c r="O31" s="12" t="str">
        <f t="shared" si="12"/>
        <v/>
      </c>
      <c r="P31" s="12" t="str">
        <f t="shared" si="12"/>
        <v/>
      </c>
      <c r="Q31" s="12" t="str">
        <f t="shared" si="12"/>
        <v/>
      </c>
      <c r="R31" s="12" t="str">
        <f t="shared" si="12"/>
        <v/>
      </c>
    </row>
    <row r="32">
      <c r="B32" s="1" t="s">
        <v>35</v>
      </c>
      <c r="C32" s="16">
        <v>0.0</v>
      </c>
      <c r="D32" s="12">
        <f t="shared" ref="D32:R32" si="13">IF(D15="","",(D15-$C15)/$C15)</f>
        <v>-0.002496878901</v>
      </c>
      <c r="E32" s="12">
        <f t="shared" si="13"/>
        <v>-0.007490636704</v>
      </c>
      <c r="F32" s="12">
        <f t="shared" si="13"/>
        <v>-0.03495630462</v>
      </c>
      <c r="G32" s="12">
        <f t="shared" si="13"/>
        <v>-0.02996254682</v>
      </c>
      <c r="H32" s="12">
        <f t="shared" si="13"/>
        <v>-0.05493133583</v>
      </c>
      <c r="I32" s="12">
        <f t="shared" si="13"/>
        <v>-0.06117353308</v>
      </c>
      <c r="J32" s="12">
        <f t="shared" si="13"/>
        <v>-0.05867665418</v>
      </c>
      <c r="K32" s="12" t="str">
        <f t="shared" si="13"/>
        <v/>
      </c>
      <c r="L32" s="12" t="str">
        <f t="shared" si="13"/>
        <v/>
      </c>
      <c r="M32" s="12" t="str">
        <f t="shared" si="13"/>
        <v/>
      </c>
      <c r="N32" s="12" t="str">
        <f t="shared" si="13"/>
        <v/>
      </c>
      <c r="O32" s="12" t="str">
        <f t="shared" si="13"/>
        <v/>
      </c>
      <c r="P32" s="12" t="str">
        <f t="shared" si="13"/>
        <v/>
      </c>
      <c r="Q32" s="12" t="str">
        <f t="shared" si="13"/>
        <v/>
      </c>
      <c r="R32" s="12" t="str">
        <f t="shared" si="13"/>
        <v/>
      </c>
    </row>
    <row r="33">
      <c r="B33" s="1" t="s">
        <v>36</v>
      </c>
      <c r="C33" s="16">
        <v>0.0</v>
      </c>
      <c r="D33" s="12">
        <f t="shared" ref="D33:R33" si="14">IF(D16="","",(D16-$C16)/$C16)</f>
        <v>0</v>
      </c>
      <c r="E33" s="12">
        <f t="shared" si="14"/>
        <v>0</v>
      </c>
      <c r="F33" s="12">
        <f t="shared" si="14"/>
        <v>0.004754358162</v>
      </c>
      <c r="G33" s="12">
        <f t="shared" si="14"/>
        <v>-0.006339144216</v>
      </c>
      <c r="H33" s="12">
        <f t="shared" si="14"/>
        <v>-0.02218700475</v>
      </c>
      <c r="I33" s="12">
        <f t="shared" si="14"/>
        <v>-0.01901743265</v>
      </c>
      <c r="J33" s="12">
        <f t="shared" si="14"/>
        <v>-0.001584786054</v>
      </c>
      <c r="K33" s="12" t="str">
        <f t="shared" si="14"/>
        <v/>
      </c>
      <c r="L33" s="12" t="str">
        <f t="shared" si="14"/>
        <v/>
      </c>
      <c r="M33" s="12" t="str">
        <f t="shared" si="14"/>
        <v/>
      </c>
      <c r="N33" s="12" t="str">
        <f t="shared" si="14"/>
        <v/>
      </c>
      <c r="O33" s="12" t="str">
        <f t="shared" si="14"/>
        <v/>
      </c>
      <c r="P33" s="12" t="str">
        <f t="shared" si="14"/>
        <v/>
      </c>
      <c r="Q33" s="12" t="str">
        <f t="shared" si="14"/>
        <v/>
      </c>
      <c r="R33" s="12" t="str">
        <f t="shared" si="14"/>
        <v/>
      </c>
    </row>
    <row r="34">
      <c r="B34" s="1" t="s">
        <v>37</v>
      </c>
      <c r="C34" s="16">
        <v>0.0</v>
      </c>
      <c r="D34" s="12">
        <f t="shared" ref="D34:R34" si="15">IF(D17="","",(D17-$C17)/$C17)</f>
        <v>-0.002915451895</v>
      </c>
      <c r="E34" s="12">
        <f t="shared" si="15"/>
        <v>0.008746355685</v>
      </c>
      <c r="F34" s="12">
        <f t="shared" si="15"/>
        <v>0.01603498542</v>
      </c>
      <c r="G34" s="12">
        <f t="shared" si="15"/>
        <v>0.01166180758</v>
      </c>
      <c r="H34" s="12">
        <f t="shared" si="15"/>
        <v>0.01895043732</v>
      </c>
      <c r="I34" s="12">
        <f t="shared" si="15"/>
        <v>0.004373177843</v>
      </c>
      <c r="J34" s="12">
        <f t="shared" si="15"/>
        <v>0.01457725948</v>
      </c>
      <c r="K34" s="12" t="str">
        <f t="shared" si="15"/>
        <v/>
      </c>
      <c r="L34" s="12" t="str">
        <f t="shared" si="15"/>
        <v/>
      </c>
      <c r="M34" s="12" t="str">
        <f t="shared" si="15"/>
        <v/>
      </c>
      <c r="N34" s="12" t="str">
        <f t="shared" si="15"/>
        <v/>
      </c>
      <c r="O34" s="12" t="str">
        <f t="shared" si="15"/>
        <v/>
      </c>
      <c r="P34" s="12" t="str">
        <f t="shared" si="15"/>
        <v/>
      </c>
      <c r="Q34" s="12" t="str">
        <f t="shared" si="15"/>
        <v/>
      </c>
      <c r="R34" s="12" t="str">
        <f t="shared" si="15"/>
        <v/>
      </c>
    </row>
    <row r="35">
      <c r="B35" s="1" t="s">
        <v>38</v>
      </c>
      <c r="C35" s="16">
        <v>0.0</v>
      </c>
      <c r="D35" s="12">
        <f t="shared" ref="D35:K35" si="16">IF(D18="","",(D18-$C18)/$C18)</f>
        <v>0</v>
      </c>
      <c r="E35" s="12">
        <f t="shared" si="16"/>
        <v>0</v>
      </c>
      <c r="F35" s="12">
        <f t="shared" si="16"/>
        <v>0</v>
      </c>
      <c r="G35" s="12">
        <f t="shared" si="16"/>
        <v>0</v>
      </c>
      <c r="H35" s="12">
        <f t="shared" si="16"/>
        <v>0</v>
      </c>
      <c r="I35" s="12">
        <f t="shared" si="16"/>
        <v>0</v>
      </c>
      <c r="J35" s="12">
        <f t="shared" si="16"/>
        <v>-0.007766990291</v>
      </c>
      <c r="K35" s="12" t="str">
        <f t="shared" si="16"/>
        <v/>
      </c>
    </row>
    <row r="36">
      <c r="B36" s="1" t="s">
        <v>39</v>
      </c>
      <c r="C36" s="16">
        <v>0.0</v>
      </c>
      <c r="D36" s="12">
        <f t="shared" ref="D36:K36" si="17">IF(D19="","",(D19-$C19)/$C19)</f>
        <v>0</v>
      </c>
      <c r="E36" s="12">
        <f t="shared" si="17"/>
        <v>0</v>
      </c>
      <c r="F36" s="12">
        <f t="shared" si="17"/>
        <v>0</v>
      </c>
      <c r="G36" s="12">
        <f t="shared" si="17"/>
        <v>0</v>
      </c>
      <c r="H36" s="12">
        <f t="shared" si="17"/>
        <v>0</v>
      </c>
      <c r="I36" s="12">
        <f t="shared" si="17"/>
        <v>0</v>
      </c>
      <c r="J36" s="12">
        <f t="shared" si="17"/>
        <v>-0.01282051282</v>
      </c>
      <c r="K36" s="12" t="str">
        <f t="shared" si="17"/>
        <v/>
      </c>
    </row>
    <row r="39">
      <c r="R39" s="17" t="s">
        <v>42</v>
      </c>
      <c r="S39" s="17" t="s">
        <v>43</v>
      </c>
      <c r="T39" s="17" t="s">
        <v>3</v>
      </c>
    </row>
    <row r="40">
      <c r="R40" s="18">
        <v>1.0</v>
      </c>
      <c r="S40" s="19" t="str">
        <f t="array" ref="S40">INDEX('2026 tavasz'!$B$5:$Y$19,match(R40, '2026 tavasz'!$Y$5:$Y$19, 0),1)</f>
        <v>Várnoki Ádám</v>
      </c>
      <c r="T40" s="20">
        <f t="array" ref="T40">INDEX('2026 tavasz'!$B$5:$Y$19,match(R40, '2026 tavasz'!$Y$5:$Y$19, 0),23)</f>
        <v>6.5</v>
      </c>
    </row>
    <row r="41">
      <c r="R41" s="18">
        <v>2.0</v>
      </c>
      <c r="S41" s="19" t="str">
        <f t="array" ref="S41">INDEX('2026 tavasz'!$B$5:$Y$19,match(R41, '2026 tavasz'!$Y$5:$Y$19, 0),1)</f>
        <v>Zorván Zoárd</v>
      </c>
      <c r="T41" s="20">
        <f t="array" ref="T41">INDEX('2026 tavasz'!$B$5:$Y$19,match(R41, '2026 tavasz'!$Y$5:$Y$19, 0),23)</f>
        <v>4.7</v>
      </c>
    </row>
    <row r="42">
      <c r="R42" s="18">
        <v>3.0</v>
      </c>
      <c r="S42" s="19" t="str">
        <f t="array" ref="S42">INDEX('2026 tavasz'!$B$5:$Y$19,match(R42, '2026 tavasz'!$Y$5:$Y$19, 0),1)</f>
        <v>Molnár György</v>
      </c>
      <c r="T42" s="20">
        <f t="array" ref="T42">INDEX('2026 tavasz'!$B$5:$Y$19,match(R42, '2026 tavasz'!$Y$5:$Y$19, 0),23)</f>
        <v>4.5</v>
      </c>
    </row>
    <row r="43">
      <c r="R43" s="18">
        <v>4.0</v>
      </c>
      <c r="S43" s="19" t="str">
        <f t="array" ref="S43">INDEX('2026 tavasz'!$B$5:$Y$19,match(R43, '2026 tavasz'!$Y$5:$Y$19, 0),1)</f>
        <v>Jávor Tamás</v>
      </c>
      <c r="T43" s="20">
        <f t="array" ref="T43">INDEX('2026 tavasz'!$B$5:$Y$19,match(R43, '2026 tavasz'!$Y$5:$Y$19, 0),23)</f>
        <v>4.3</v>
      </c>
    </row>
    <row r="44">
      <c r="R44" s="18">
        <v>5.0</v>
      </c>
      <c r="S44" s="19" t="str">
        <f t="array" ref="S44">INDEX('2026 tavasz'!$B$5:$Y$19,match(R44, '2026 tavasz'!$Y$5:$Y$19, 0),1)</f>
        <v>Varga Szabolcs</v>
      </c>
      <c r="T44" s="20">
        <f t="array" ref="T44">INDEX('2026 tavasz'!$B$5:$Y$19,match(R44, '2026 tavasz'!$Y$5:$Y$19, 0),23)</f>
        <v>4</v>
      </c>
    </row>
    <row r="45">
      <c r="R45" s="18">
        <v>6.0</v>
      </c>
      <c r="S45" s="19" t="str">
        <f t="array" ref="S45">INDEX('2026 tavasz'!$B$5:$Y$19,match(R45, '2026 tavasz'!$Y$5:$Y$19, 0),1)</f>
        <v>Szikora István</v>
      </c>
      <c r="T45" s="20">
        <f t="array" ref="T45">INDEX('2026 tavasz'!$B$5:$Y$19,match(R45, '2026 tavasz'!$Y$5:$Y$19, 0),23)</f>
        <v>2.7</v>
      </c>
    </row>
    <row r="46">
      <c r="R46" s="18">
        <v>7.0</v>
      </c>
      <c r="S46" s="19" t="str">
        <f t="array" ref="S46">INDEX('2026 tavasz'!$B$5:$Y$19,match(R46, '2026 tavasz'!$Y$5:$Y$19, 0),1)</f>
        <v>Barcsik Kristóf</v>
      </c>
      <c r="T46" s="21">
        <f t="array" ref="T46">INDEX('2026 tavasz'!$B$5:$Y$19,match(R46, '2026 tavasz'!$Y$5:$Y$19, 0),23)</f>
        <v>2.6</v>
      </c>
    </row>
    <row r="47">
      <c r="R47" s="18">
        <v>8.0</v>
      </c>
      <c r="S47" s="19" t="str">
        <f t="array" ref="S47">INDEX('2026 tavasz'!$B$5:$Y$19,match(R47, '2026 tavasz'!$Y$5:$Y$19, 0),1)</f>
        <v>Tóth Roland</v>
      </c>
      <c r="T47" s="20">
        <f t="array" ref="T47">INDEX('2026 tavasz'!$B$5:$Y$19,match(R47, '2026 tavasz'!$Y$5:$Y$19, 0),23)</f>
        <v>1.2</v>
      </c>
    </row>
    <row r="48">
      <c r="R48" s="18">
        <v>9.0</v>
      </c>
      <c r="S48" s="19" t="str">
        <f t="array" ref="S48">INDEX('2026 tavasz'!$B$5:$Y$19,match(R48, '2026 tavasz'!$Y$5:$Y$19, 0),1)</f>
        <v>Jákob Tamás</v>
      </c>
      <c r="T48" s="20">
        <f t="array" ref="T48">INDEX('2026 tavasz'!$B$5:$Y$19,match(R48, '2026 tavasz'!$Y$5:$Y$19, 0),23)</f>
        <v>0.8</v>
      </c>
    </row>
    <row r="49">
      <c r="R49" s="18">
        <v>10.0</v>
      </c>
      <c r="S49" s="19" t="str">
        <f t="array" ref="S49">INDEX('2026 tavasz'!$B$5:$Y$19,match(R49, '2026 tavasz'!$Y$5:$Y$19, 0),1)</f>
        <v>Krekuska Gábor</v>
      </c>
      <c r="T49" s="20">
        <f t="array" ref="T49">INDEX('2026 tavasz'!$B$5:$Y$19,match(R49, '2026 tavasz'!$Y$5:$Y$19, 0),23)</f>
        <v>0.4</v>
      </c>
    </row>
    <row r="50">
      <c r="R50" s="18">
        <v>11.0</v>
      </c>
      <c r="S50" s="19" t="str">
        <f t="array" ref="S50">INDEX('2026 tavasz'!$B$5:$Y$19,match(R50, '2026 tavasz'!$Y$5:$Y$19, 0),1)</f>
        <v>Beötthy Tímea</v>
      </c>
      <c r="T50" s="20">
        <f t="array" ref="T50">INDEX('2026 tavasz'!$B$5:$Y$19,match(R50, '2026 tavasz'!$Y$5:$Y$19, 0),23)</f>
        <v>0.1</v>
      </c>
    </row>
    <row r="51">
      <c r="R51" s="18">
        <v>12.0</v>
      </c>
      <c r="S51" s="19" t="str">
        <f t="array" ref="S51">INDEX('2026 tavasz'!$B$5:$Y$19,match(R51, '2026 tavasz'!$Y$5:$Y$19, 0),1)</f>
        <v>Kováts Tibor</v>
      </c>
      <c r="T51" s="20">
        <f t="array" ref="T51">INDEX('2026 tavasz'!$B$5:$Y$19,match(R51, '2026 tavasz'!$Y$5:$Y$19, 0),23)</f>
        <v>0</v>
      </c>
    </row>
    <row r="52">
      <c r="R52" s="18">
        <v>13.0</v>
      </c>
      <c r="S52" s="19" t="str">
        <f t="array" ref="S52">INDEX('2026 tavasz'!$B$5:$Y$19,match(R52, '2026 tavasz'!$Y$5:$Y$19, 0),1)</f>
        <v>Vaspál Gergő</v>
      </c>
      <c r="T52" s="20">
        <f t="array" ref="T52">INDEX('2026 tavasz'!$B$5:$Y$19,match(R52, '2026 tavasz'!$Y$5:$Y$19, 0),23)</f>
        <v>-0.2</v>
      </c>
    </row>
    <row r="53">
      <c r="R53" s="18">
        <v>14.0</v>
      </c>
      <c r="S53" s="19" t="str">
        <f t="array" ref="S53">INDEX('2026 tavasz'!$B$5:$Y$19,match(R53, '2026 tavasz'!$Y$5:$Y$19, 0),1)</f>
        <v>Galgóczy Ádám</v>
      </c>
      <c r="T53" s="20">
        <f t="array" ref="T53">INDEX('2026 tavasz'!$B$5:$Y$19,match(R53, '2026 tavasz'!$Y$5:$Y$19, 0),23)</f>
        <v>-0.9</v>
      </c>
    </row>
    <row r="54">
      <c r="R54" s="18">
        <v>15.0</v>
      </c>
      <c r="S54" s="19" t="str">
        <f t="array" ref="S54">INDEX('2026 tavasz'!$B$5:$Y$19,match(R54, '2026 tavasz'!$Y$5:$Y$19, 0),1)</f>
        <v>Kellős György</v>
      </c>
      <c r="T54" s="20">
        <f t="array" ref="T54">INDEX('2026 tavasz'!$B$5:$Y$19,match(R54, '2026 tavasz'!$Y$5:$Y$19, 0),23)</f>
        <v>-1</v>
      </c>
    </row>
    <row r="57">
      <c r="R57" s="22" t="s">
        <v>44</v>
      </c>
      <c r="S57" s="22" t="s">
        <v>43</v>
      </c>
      <c r="T57" s="22" t="s">
        <v>3</v>
      </c>
    </row>
    <row r="58">
      <c r="R58" s="23">
        <v>1.0</v>
      </c>
      <c r="S58" s="24" t="str">
        <f t="array" ref="S58">INDEX('2026 tavasz'!$B$5:$AA$19, match(R58, '2026 tavasz'!$AA$5:$AA$19, 0),1)</f>
        <v>Várnoki Ádám</v>
      </c>
      <c r="T58" s="25">
        <f t="array" ref="T58">INDEX('2026 tavasz'!$B$5:$AA$19, match(R58, '2026 tavasz'!$AA$5:$AA$19, 0),25)</f>
        <v>0.05996309963</v>
      </c>
    </row>
    <row r="59">
      <c r="R59" s="23">
        <v>2.0</v>
      </c>
      <c r="S59" s="24" t="str">
        <f t="array" ref="S59">INDEX('2026 tavasz'!$B$5:$AA$19, match(R59, '2026 tavasz'!$AA$5:$AA$19, 0),1)</f>
        <v>Zorván Zoárd</v>
      </c>
      <c r="T59" s="25">
        <f t="array" ref="T59">INDEX('2026 tavasz'!$B$5:$AA$19, match(R59, '2026 tavasz'!$AA$5:$AA$19, 0),25)</f>
        <v>0.05867665418</v>
      </c>
    </row>
    <row r="60">
      <c r="R60" s="23">
        <v>3.0</v>
      </c>
      <c r="S60" s="24" t="str">
        <f t="array" ref="S60">INDEX('2026 tavasz'!$B$5:$AA$19, match(R60, '2026 tavasz'!$AA$5:$AA$19, 0),1)</f>
        <v>Molnár György</v>
      </c>
      <c r="T60" s="25">
        <f t="array" ref="T60">INDEX('2026 tavasz'!$B$5:$AA$19, match(R60, '2026 tavasz'!$AA$5:$AA$19, 0),25)</f>
        <v>0.05096262741</v>
      </c>
    </row>
    <row r="61">
      <c r="R61" s="23">
        <v>4.0</v>
      </c>
      <c r="S61" s="24" t="str">
        <f t="array" ref="S61">INDEX('2026 tavasz'!$B$5:$AA$19, match(R61, '2026 tavasz'!$AA$5:$AA$19, 0),1)</f>
        <v>Varga Szabolcs</v>
      </c>
      <c r="T61" s="25">
        <f t="array" ref="T61">INDEX('2026 tavasz'!$B$5:$AA$19, match(R61, '2026 tavasz'!$AA$5:$AA$19, 0),25)</f>
        <v>0.03798670465</v>
      </c>
    </row>
    <row r="62">
      <c r="R62" s="23">
        <v>5.0</v>
      </c>
      <c r="S62" s="24" t="str">
        <f t="array" ref="S62">INDEX('2026 tavasz'!$B$5:$AA$19, match(R62, '2026 tavasz'!$AA$5:$AA$19, 0),1)</f>
        <v>Jávor Tamás</v>
      </c>
      <c r="T62" s="25">
        <f t="array" ref="T62">INDEX('2026 tavasz'!$B$5:$AA$19, match(R62, '2026 tavasz'!$AA$5:$AA$19, 0),25)</f>
        <v>0.0369733448</v>
      </c>
    </row>
    <row r="63">
      <c r="R63" s="23">
        <v>6.0</v>
      </c>
      <c r="S63" s="24" t="str">
        <f t="array" ref="S63">INDEX('2026 tavasz'!$B$5:$AA$19, match(R63, '2026 tavasz'!$AA$5:$AA$19, 0),1)</f>
        <v>Szikora István</v>
      </c>
      <c r="T63" s="25">
        <f t="array" ref="T63">INDEX('2026 tavasz'!$B$5:$AA$19, match(R63, '2026 tavasz'!$AA$5:$AA$19, 0),25)</f>
        <v>0.0264446621</v>
      </c>
    </row>
    <row r="64">
      <c r="R64" s="23">
        <v>7.0</v>
      </c>
      <c r="S64" s="24" t="str">
        <f t="array" ref="S64">INDEX('2026 tavasz'!$B$5:$AA$19, match(R64, '2026 tavasz'!$AA$5:$AA$19, 0),1)</f>
        <v>Barcsik Kristóf</v>
      </c>
      <c r="T64" s="25">
        <f t="array" ref="T64">INDEX('2026 tavasz'!$B$5:$AA$19, match(R64, '2026 tavasz'!$AA$5:$AA$19, 0),25)</f>
        <v>0.02239448751</v>
      </c>
    </row>
    <row r="65">
      <c r="R65" s="23">
        <v>8.0</v>
      </c>
      <c r="S65" s="24" t="str">
        <f t="array" ref="S65">INDEX('2026 tavasz'!$B$5:$AA$19, match(R65, '2026 tavasz'!$AA$5:$AA$19, 0),1)</f>
        <v>Tóth Roland</v>
      </c>
      <c r="T65" s="25">
        <f t="array" ref="T65">INDEX('2026 tavasz'!$B$5:$AA$19, match(R65, '2026 tavasz'!$AA$5:$AA$19, 0),25)</f>
        <v>0.01282051282</v>
      </c>
    </row>
    <row r="66">
      <c r="R66" s="23">
        <v>9.0</v>
      </c>
      <c r="S66" s="24" t="str">
        <f t="array" ref="S66">INDEX('2026 tavasz'!$B$5:$AA$19, match(R66, '2026 tavasz'!$AA$5:$AA$19, 0),1)</f>
        <v>Jákob Tamás</v>
      </c>
      <c r="T66" s="25">
        <f t="array" ref="T66">INDEX('2026 tavasz'!$B$5:$AA$19, match(R66, '2026 tavasz'!$AA$5:$AA$19, 0),25)</f>
        <v>0.007766990291</v>
      </c>
    </row>
    <row r="67">
      <c r="R67" s="23">
        <v>10.0</v>
      </c>
      <c r="S67" s="24" t="str">
        <f t="array" ref="S67">INDEX('2026 tavasz'!$B$5:$AA$19, match(R67, '2026 tavasz'!$AA$5:$AA$19, 0),1)</f>
        <v>Krekuska Gábor</v>
      </c>
      <c r="T67" s="25">
        <f t="array" ref="T67">INDEX('2026 tavasz'!$B$5:$AA$19, match(R67, '2026 tavasz'!$AA$5:$AA$19, 0),25)</f>
        <v>0.004561003421</v>
      </c>
    </row>
    <row r="68">
      <c r="R68" s="23">
        <v>11.0</v>
      </c>
      <c r="S68" s="24" t="str">
        <f t="array" ref="S68">INDEX('2026 tavasz'!$B$5:$AA$19, match(R68, '2026 tavasz'!$AA$5:$AA$19, 0),1)</f>
        <v>Beötthy Tímea</v>
      </c>
      <c r="T68" s="25">
        <f t="array" ref="T68">INDEX('2026 tavasz'!$B$5:$AA$19, match(R68, '2026 tavasz'!$AA$5:$AA$19, 0),25)</f>
        <v>0.001584786054</v>
      </c>
    </row>
    <row r="69">
      <c r="R69" s="23">
        <v>12.0</v>
      </c>
      <c r="S69" s="24" t="str">
        <f t="array" ref="S69">INDEX('2026 tavasz'!$B$5:$AA$19, match(R69, '2026 tavasz'!$AA$5:$AA$19, 0),1)</f>
        <v>Kováts Tibor</v>
      </c>
      <c r="T69" s="25">
        <f t="array" ref="T69">INDEX('2026 tavasz'!$B$5:$AA$19, match(R69, '2026 tavasz'!$AA$5:$AA$19, 0),25)</f>
        <v>0</v>
      </c>
    </row>
    <row r="70">
      <c r="D70" s="26"/>
      <c r="G70" s="26"/>
      <c r="R70" s="23">
        <v>13.0</v>
      </c>
      <c r="S70" s="24" t="str">
        <f t="array" ref="S70">INDEX('2026 tavasz'!$B$5:$AA$19, match(R70, '2026 tavasz'!$AA$5:$AA$19, 0),1)</f>
        <v>Vaspál Gergő</v>
      </c>
      <c r="T70" s="25">
        <f t="array" ref="T70">INDEX('2026 tavasz'!$B$5:$AA$19, match(R70, '2026 tavasz'!$AA$5:$AA$19, 0),25)</f>
        <v>-0.002166847237</v>
      </c>
    </row>
    <row r="71">
      <c r="G71" s="26"/>
      <c r="R71" s="23">
        <v>14.0</v>
      </c>
      <c r="S71" s="24" t="str">
        <f t="array" ref="S71">INDEX('2026 tavasz'!$B$5:$AA$19, match(R71, '2026 tavasz'!$AA$5:$AA$19, 0),1)</f>
        <v>Galgóczy Ádám</v>
      </c>
      <c r="T71" s="25">
        <f t="array" ref="T71">INDEX('2026 tavasz'!$B$5:$AA$19, match(R71, '2026 tavasz'!$AA$5:$AA$19, 0),25)</f>
        <v>-0.008866995074</v>
      </c>
    </row>
    <row r="72">
      <c r="G72" s="26"/>
      <c r="R72" s="23">
        <v>15.0</v>
      </c>
      <c r="S72" s="24" t="str">
        <f t="array" ref="S72">INDEX('2026 tavasz'!$B$5:$AA$19, match(R72, '2026 tavasz'!$AA$5:$AA$19, 0),1)</f>
        <v>Kellős György</v>
      </c>
      <c r="T72" s="25">
        <f t="array" ref="T72">INDEX('2026 tavasz'!$B$5:$AA$19, match(R72, '2026 tavasz'!$AA$5:$AA$19, 0),25)</f>
        <v>-0.01457725948</v>
      </c>
    </row>
    <row r="73">
      <c r="G73" s="26"/>
    </row>
    <row r="74">
      <c r="G74" s="26"/>
    </row>
    <row r="75">
      <c r="G75" s="26"/>
      <c r="R75" s="17" t="s">
        <v>45</v>
      </c>
      <c r="S75" s="20">
        <f>SUM(T40:T54)</f>
        <v>29.7</v>
      </c>
    </row>
    <row r="76">
      <c r="G76" s="26"/>
    </row>
    <row r="77">
      <c r="G77" s="26"/>
    </row>
    <row r="81">
      <c r="G81" s="12"/>
      <c r="I81" s="1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1" t="s">
        <v>47</v>
      </c>
      <c r="D2" s="1" t="s">
        <v>48</v>
      </c>
      <c r="E2" s="13" t="str">
        <f>'2026 tavasz'!V3</f>
        <v>Leadandó</v>
      </c>
      <c r="G2" s="27" t="str">
        <f>B4</f>
        <v>Barcsik Kristóf</v>
      </c>
      <c r="H2" s="27" t="str">
        <f>B5</f>
        <v>Galgóczy Ádám</v>
      </c>
      <c r="I2" s="27" t="str">
        <f>B6</f>
        <v>Jávor Tamás</v>
      </c>
      <c r="J2" s="27" t="str">
        <f>B7</f>
        <v>Krekuska Gábor</v>
      </c>
      <c r="K2" s="27" t="str">
        <f>B8</f>
        <v>Molnár György</v>
      </c>
      <c r="L2" s="27" t="str">
        <f>B9</f>
        <v>Varga Szabolcs</v>
      </c>
      <c r="M2" s="27" t="str">
        <f>B10</f>
        <v>Vaspál Gergő</v>
      </c>
      <c r="N2" s="27" t="str">
        <f>B11</f>
        <v>Várnoki Ádám</v>
      </c>
      <c r="O2" s="27" t="str">
        <f>B12</f>
        <v>Szikora István</v>
      </c>
      <c r="P2" s="27" t="str">
        <f>B13</f>
        <v>Kováts Tibor</v>
      </c>
      <c r="Q2" s="27" t="str">
        <f>B14</f>
        <v>Zorván Zoárd</v>
      </c>
      <c r="R2" s="13" t="str">
        <f>B15</f>
        <v>Beötthy Tímea</v>
      </c>
      <c r="S2" s="13" t="str">
        <f>B16</f>
        <v>Kellős György</v>
      </c>
      <c r="T2" s="1" t="s">
        <v>38</v>
      </c>
      <c r="U2" s="1" t="s">
        <v>39</v>
      </c>
    </row>
    <row r="3">
      <c r="B3" s="13" t="str">
        <f>'2026 Tavasz diagram'!B4</f>
        <v/>
      </c>
      <c r="G3" s="27"/>
      <c r="H3" s="27"/>
      <c r="I3" s="27"/>
      <c r="J3" s="27"/>
      <c r="K3" s="27"/>
      <c r="L3" s="27"/>
      <c r="M3" s="27"/>
      <c r="N3" s="27"/>
      <c r="O3" s="27"/>
    </row>
    <row r="4">
      <c r="B4" s="13" t="str">
        <f>'2026 Tavasz diagram'!B5</f>
        <v>Barcsik Kristóf</v>
      </c>
      <c r="C4" s="11">
        <f>'2026 tavasz'!C5</f>
        <v>116.1</v>
      </c>
      <c r="D4" s="11">
        <f>'2026 tavasz'!U5</f>
        <v>112</v>
      </c>
      <c r="E4" s="11">
        <f>'2026 tavasz'!V5</f>
        <v>4.1</v>
      </c>
      <c r="G4" s="28" t="s">
        <v>49</v>
      </c>
      <c r="H4" s="29" t="s">
        <v>50</v>
      </c>
      <c r="I4" s="29" t="s">
        <v>50</v>
      </c>
      <c r="J4" s="29" t="s">
        <v>50</v>
      </c>
      <c r="K4" s="29" t="s">
        <v>50</v>
      </c>
      <c r="L4" s="29" t="s">
        <v>50</v>
      </c>
      <c r="M4" s="29" t="s">
        <v>50</v>
      </c>
      <c r="N4" s="29" t="s">
        <v>50</v>
      </c>
      <c r="O4" s="29" t="s">
        <v>50</v>
      </c>
      <c r="P4" s="30" t="s">
        <v>49</v>
      </c>
      <c r="Q4" s="29" t="s">
        <v>50</v>
      </c>
      <c r="R4" s="30" t="s">
        <v>49</v>
      </c>
      <c r="S4" s="29" t="s">
        <v>50</v>
      </c>
      <c r="T4" s="30" t="s">
        <v>49</v>
      </c>
      <c r="U4" s="29" t="s">
        <v>50</v>
      </c>
    </row>
    <row r="5">
      <c r="B5" s="13" t="str">
        <f>'2026 Tavasz diagram'!B6</f>
        <v>Galgóczy Ádám</v>
      </c>
      <c r="C5" s="14">
        <f>'2026 tavasz'!C6</f>
        <v>101.5</v>
      </c>
      <c r="D5" s="14">
        <f>'2026 tavasz'!U6</f>
        <v>98</v>
      </c>
      <c r="E5" s="14">
        <f>'2026 tavasz'!V6</f>
        <v>3.5</v>
      </c>
      <c r="G5" s="30" t="s">
        <v>49</v>
      </c>
      <c r="H5" s="28" t="s">
        <v>49</v>
      </c>
      <c r="I5" s="30" t="s">
        <v>49</v>
      </c>
      <c r="J5" s="30" t="s">
        <v>49</v>
      </c>
      <c r="K5" s="30" t="s">
        <v>49</v>
      </c>
      <c r="L5" s="30" t="s">
        <v>49</v>
      </c>
      <c r="M5" s="30" t="s">
        <v>49</v>
      </c>
      <c r="N5" s="30" t="s">
        <v>49</v>
      </c>
      <c r="O5" s="30" t="s">
        <v>49</v>
      </c>
      <c r="P5" s="30" t="s">
        <v>49</v>
      </c>
      <c r="Q5" s="30" t="s">
        <v>49</v>
      </c>
      <c r="R5" s="30" t="s">
        <v>49</v>
      </c>
      <c r="S5" s="30" t="s">
        <v>49</v>
      </c>
      <c r="T5" s="30" t="s">
        <v>49</v>
      </c>
      <c r="U5" s="29" t="s">
        <v>50</v>
      </c>
    </row>
    <row r="6">
      <c r="B6" s="13" t="str">
        <f>'2026 Tavasz diagram'!B7</f>
        <v>Jávor Tamás</v>
      </c>
      <c r="C6" s="14">
        <f>'2026 tavasz'!C7</f>
        <v>116.3</v>
      </c>
      <c r="D6" s="14">
        <f>'2026 tavasz'!U7</f>
        <v>113</v>
      </c>
      <c r="E6" s="14">
        <f>'2026 tavasz'!V7</f>
        <v>3.3</v>
      </c>
      <c r="G6" s="30" t="s">
        <v>49</v>
      </c>
      <c r="H6" s="29" t="s">
        <v>50</v>
      </c>
      <c r="I6" s="28" t="s">
        <v>49</v>
      </c>
      <c r="J6" s="30" t="s">
        <v>49</v>
      </c>
      <c r="K6" s="30" t="s">
        <v>49</v>
      </c>
      <c r="L6" s="30" t="s">
        <v>49</v>
      </c>
      <c r="M6" s="30" t="s">
        <v>49</v>
      </c>
      <c r="N6" s="29" t="s">
        <v>50</v>
      </c>
      <c r="O6" s="30" t="s">
        <v>49</v>
      </c>
      <c r="P6" s="30" t="s">
        <v>49</v>
      </c>
      <c r="Q6" s="30" t="s">
        <v>49</v>
      </c>
      <c r="R6" s="29" t="s">
        <v>50</v>
      </c>
      <c r="S6" s="30" t="s">
        <v>49</v>
      </c>
      <c r="T6" s="30" t="s">
        <v>49</v>
      </c>
      <c r="U6" s="30" t="s">
        <v>49</v>
      </c>
    </row>
    <row r="7">
      <c r="B7" s="13" t="str">
        <f>'2026 Tavasz diagram'!B8</f>
        <v>Krekuska Gábor</v>
      </c>
      <c r="C7" s="14">
        <f>'2026 tavasz'!C8</f>
        <v>87.7</v>
      </c>
      <c r="D7" s="14">
        <f>'2026 tavasz'!U8</f>
        <v>85</v>
      </c>
      <c r="E7" s="14">
        <f>'2026 tavasz'!V8</f>
        <v>2.7</v>
      </c>
      <c r="G7" s="30" t="s">
        <v>49</v>
      </c>
      <c r="H7" s="30" t="s">
        <v>49</v>
      </c>
      <c r="I7" s="30" t="s">
        <v>49</v>
      </c>
      <c r="J7" s="28" t="s">
        <v>49</v>
      </c>
      <c r="K7" s="30" t="s">
        <v>49</v>
      </c>
      <c r="L7" s="30" t="s">
        <v>49</v>
      </c>
      <c r="M7" s="30" t="s">
        <v>49</v>
      </c>
      <c r="N7" s="30" t="s">
        <v>49</v>
      </c>
      <c r="O7" s="30" t="s">
        <v>49</v>
      </c>
      <c r="P7" s="30" t="s">
        <v>49</v>
      </c>
      <c r="Q7" s="30" t="s">
        <v>49</v>
      </c>
      <c r="R7" s="30" t="s">
        <v>49</v>
      </c>
      <c r="S7" s="30" t="s">
        <v>49</v>
      </c>
      <c r="T7" s="30" t="s">
        <v>49</v>
      </c>
      <c r="U7" s="29" t="s">
        <v>50</v>
      </c>
    </row>
    <row r="8">
      <c r="B8" s="13" t="str">
        <f>'2026 Tavasz diagram'!B9</f>
        <v>Molnár György</v>
      </c>
      <c r="C8" s="14">
        <f>'2026 tavasz'!C9</f>
        <v>88.3</v>
      </c>
      <c r="D8" s="14">
        <f>'2026 tavasz'!U9</f>
        <v>80</v>
      </c>
      <c r="E8" s="14">
        <f>'2026 tavasz'!V9</f>
        <v>8.3</v>
      </c>
      <c r="G8" s="30" t="s">
        <v>49</v>
      </c>
      <c r="H8" s="30" t="s">
        <v>49</v>
      </c>
      <c r="I8" s="29" t="s">
        <v>50</v>
      </c>
      <c r="J8" s="30" t="s">
        <v>49</v>
      </c>
      <c r="K8" s="28" t="s">
        <v>49</v>
      </c>
      <c r="L8" s="29" t="s">
        <v>50</v>
      </c>
      <c r="M8" s="30" t="s">
        <v>49</v>
      </c>
      <c r="N8" s="29" t="s">
        <v>50</v>
      </c>
      <c r="O8" s="30" t="s">
        <v>49</v>
      </c>
      <c r="P8" s="29" t="s">
        <v>50</v>
      </c>
      <c r="Q8" s="29" t="s">
        <v>50</v>
      </c>
      <c r="R8" s="30" t="s">
        <v>49</v>
      </c>
      <c r="S8" s="30" t="s">
        <v>49</v>
      </c>
      <c r="T8" s="29" t="s">
        <v>50</v>
      </c>
      <c r="U8" s="29" t="s">
        <v>50</v>
      </c>
    </row>
    <row r="9">
      <c r="B9" s="13" t="str">
        <f>'2026 Tavasz diagram'!B10</f>
        <v>Varga Szabolcs</v>
      </c>
      <c r="C9" s="14">
        <f>'2026 tavasz'!C10</f>
        <v>105.3</v>
      </c>
      <c r="D9" s="14">
        <f>'2026 tavasz'!U10</f>
        <v>95</v>
      </c>
      <c r="E9" s="14">
        <f>'2026 tavasz'!V10</f>
        <v>10.3</v>
      </c>
      <c r="G9" s="29" t="s">
        <v>50</v>
      </c>
      <c r="H9" s="29" t="s">
        <v>50</v>
      </c>
      <c r="I9" s="30" t="s">
        <v>49</v>
      </c>
      <c r="J9" s="29" t="s">
        <v>50</v>
      </c>
      <c r="K9" s="29" t="s">
        <v>50</v>
      </c>
      <c r="L9" s="28" t="s">
        <v>49</v>
      </c>
      <c r="M9" s="29" t="s">
        <v>50</v>
      </c>
      <c r="N9" s="29" t="s">
        <v>50</v>
      </c>
      <c r="O9" s="30" t="s">
        <v>49</v>
      </c>
      <c r="P9" s="29" t="s">
        <v>50</v>
      </c>
      <c r="Q9" s="29" t="s">
        <v>50</v>
      </c>
      <c r="R9" s="30" t="s">
        <v>49</v>
      </c>
      <c r="S9" s="29" t="s">
        <v>50</v>
      </c>
      <c r="T9" s="29" t="s">
        <v>50</v>
      </c>
      <c r="U9" s="29" t="s">
        <v>50</v>
      </c>
    </row>
    <row r="10">
      <c r="B10" s="13" t="str">
        <f>'2026 Tavasz diagram'!B11</f>
        <v>Vaspál Gergő</v>
      </c>
      <c r="C10" s="14">
        <f>'2026 tavasz'!C11</f>
        <v>92.3</v>
      </c>
      <c r="D10" s="14">
        <f>'2026 tavasz'!U11</f>
        <v>89</v>
      </c>
      <c r="E10" s="14">
        <f>'2026 tavasz'!V11</f>
        <v>3.3</v>
      </c>
      <c r="G10" s="30" t="s">
        <v>49</v>
      </c>
      <c r="H10" s="29" t="s">
        <v>50</v>
      </c>
      <c r="I10" s="29" t="s">
        <v>50</v>
      </c>
      <c r="J10" s="29" t="s">
        <v>50</v>
      </c>
      <c r="K10" s="30" t="s">
        <v>49</v>
      </c>
      <c r="L10" s="29" t="s">
        <v>50</v>
      </c>
      <c r="M10" s="28" t="s">
        <v>49</v>
      </c>
      <c r="N10" s="30" t="s">
        <v>49</v>
      </c>
      <c r="O10" s="30" t="s">
        <v>49</v>
      </c>
      <c r="P10" s="30" t="s">
        <v>49</v>
      </c>
      <c r="Q10" s="29" t="s">
        <v>50</v>
      </c>
      <c r="R10" s="30" t="s">
        <v>49</v>
      </c>
      <c r="S10" s="30" t="s">
        <v>49</v>
      </c>
      <c r="T10" s="29" t="s">
        <v>50</v>
      </c>
      <c r="U10" s="29" t="s">
        <v>50</v>
      </c>
    </row>
    <row r="11">
      <c r="B11" s="13" t="str">
        <f>'2026 Tavasz diagram'!B12</f>
        <v>Várnoki Ádám</v>
      </c>
      <c r="C11" s="14">
        <f>'2026 tavasz'!C12</f>
        <v>108.4</v>
      </c>
      <c r="D11" s="14">
        <f>'2026 tavasz'!U12</f>
        <v>100</v>
      </c>
      <c r="E11" s="14">
        <f>'2026 tavasz'!V12</f>
        <v>8.4</v>
      </c>
      <c r="G11" s="30" t="s">
        <v>49</v>
      </c>
      <c r="H11" s="29" t="s">
        <v>50</v>
      </c>
      <c r="I11" s="29" t="s">
        <v>50</v>
      </c>
      <c r="J11" s="30" t="s">
        <v>49</v>
      </c>
      <c r="K11" s="29" t="s">
        <v>50</v>
      </c>
      <c r="L11" s="30" t="s">
        <v>49</v>
      </c>
      <c r="M11" s="29" t="s">
        <v>50</v>
      </c>
      <c r="N11" s="28" t="s">
        <v>49</v>
      </c>
      <c r="O11" s="30" t="s">
        <v>49</v>
      </c>
      <c r="P11" s="30" t="s">
        <v>49</v>
      </c>
      <c r="Q11" s="29" t="s">
        <v>50</v>
      </c>
      <c r="R11" s="30" t="s">
        <v>49</v>
      </c>
      <c r="S11" s="29" t="s">
        <v>50</v>
      </c>
      <c r="T11" s="29" t="s">
        <v>50</v>
      </c>
      <c r="U11" s="29" t="s">
        <v>50</v>
      </c>
    </row>
    <row r="12">
      <c r="B12" s="13" t="str">
        <f>'2026 Tavasz diagram'!B13</f>
        <v>Szikora István</v>
      </c>
      <c r="C12" s="14">
        <f>'2026 tavasz'!C13</f>
        <v>102.1</v>
      </c>
      <c r="D12" s="14">
        <f>'2026 tavasz'!U13</f>
        <v>95</v>
      </c>
      <c r="E12" s="14">
        <f>'2026 tavasz'!V13</f>
        <v>7.1</v>
      </c>
      <c r="G12" s="29" t="s">
        <v>50</v>
      </c>
      <c r="H12" s="29" t="s">
        <v>50</v>
      </c>
      <c r="I12" s="29" t="s">
        <v>50</v>
      </c>
      <c r="J12" s="29" t="s">
        <v>50</v>
      </c>
      <c r="K12" s="29" t="s">
        <v>50</v>
      </c>
      <c r="L12" s="29" t="s">
        <v>50</v>
      </c>
      <c r="M12" s="29" t="s">
        <v>50</v>
      </c>
      <c r="N12" s="29" t="s">
        <v>50</v>
      </c>
      <c r="O12" s="28" t="s">
        <v>49</v>
      </c>
      <c r="P12" s="29" t="s">
        <v>50</v>
      </c>
      <c r="Q12" s="29" t="s">
        <v>50</v>
      </c>
      <c r="R12" s="30" t="s">
        <v>49</v>
      </c>
      <c r="S12" s="29" t="s">
        <v>50</v>
      </c>
      <c r="T12" s="29" t="s">
        <v>50</v>
      </c>
      <c r="U12" s="30" t="s">
        <v>49</v>
      </c>
    </row>
    <row r="13">
      <c r="B13" s="13" t="str">
        <f>'2026 Tavasz diagram'!B14</f>
        <v>Kováts Tibor</v>
      </c>
      <c r="C13" s="14">
        <f>'2026 tavasz'!C14</f>
        <v>97.2</v>
      </c>
      <c r="D13" s="14">
        <f>'2026 tavasz'!U14</f>
        <v>95.9</v>
      </c>
      <c r="E13" s="14">
        <f>'2026 tavasz'!V14</f>
        <v>1.3</v>
      </c>
      <c r="G13" s="30" t="s">
        <v>49</v>
      </c>
      <c r="H13" s="29" t="s">
        <v>50</v>
      </c>
      <c r="I13" s="30" t="s">
        <v>49</v>
      </c>
      <c r="J13" s="30" t="s">
        <v>49</v>
      </c>
      <c r="K13" s="30" t="s">
        <v>49</v>
      </c>
      <c r="L13" s="30" t="s">
        <v>49</v>
      </c>
      <c r="M13" s="30" t="s">
        <v>49</v>
      </c>
      <c r="N13" s="30" t="s">
        <v>49</v>
      </c>
      <c r="O13" s="30" t="s">
        <v>49</v>
      </c>
      <c r="P13" s="28" t="s">
        <v>49</v>
      </c>
      <c r="Q13" s="30" t="s">
        <v>49</v>
      </c>
      <c r="R13" s="30" t="s">
        <v>49</v>
      </c>
      <c r="S13" s="29" t="s">
        <v>50</v>
      </c>
      <c r="T13" s="29" t="s">
        <v>50</v>
      </c>
      <c r="U13" s="29" t="s">
        <v>50</v>
      </c>
    </row>
    <row r="14">
      <c r="B14" s="13" t="str">
        <f>'2026 Tavasz diagram'!B15</f>
        <v>Zorván Zoárd</v>
      </c>
      <c r="C14" s="14">
        <f>'2026 tavasz'!C15</f>
        <v>80.1</v>
      </c>
      <c r="D14" s="14">
        <f>'2026 tavasz'!U15</f>
        <v>72</v>
      </c>
      <c r="E14" s="14">
        <f>'2026 tavasz'!V15</f>
        <v>8.1</v>
      </c>
      <c r="G14" s="30" t="s">
        <v>49</v>
      </c>
      <c r="H14" s="29" t="s">
        <v>50</v>
      </c>
      <c r="I14" s="29" t="s">
        <v>50</v>
      </c>
      <c r="J14" s="29" t="s">
        <v>50</v>
      </c>
      <c r="K14" s="29" t="s">
        <v>50</v>
      </c>
      <c r="L14" s="29" t="s">
        <v>50</v>
      </c>
      <c r="M14" s="29" t="s">
        <v>50</v>
      </c>
      <c r="N14" s="29" t="s">
        <v>50</v>
      </c>
      <c r="O14" s="30" t="s">
        <v>49</v>
      </c>
      <c r="P14" s="29" t="s">
        <v>50</v>
      </c>
      <c r="Q14" s="28" t="s">
        <v>49</v>
      </c>
      <c r="R14" s="29" t="s">
        <v>50</v>
      </c>
      <c r="S14" s="29" t="s">
        <v>50</v>
      </c>
      <c r="T14" s="29" t="s">
        <v>50</v>
      </c>
      <c r="U14" s="30" t="s">
        <v>49</v>
      </c>
    </row>
    <row r="15">
      <c r="B15" s="13" t="str">
        <f>'2026 Tavasz diagram'!B16</f>
        <v>Beötthy Tímea</v>
      </c>
      <c r="C15" s="14">
        <f>'2026 tavasz'!C16</f>
        <v>63.1</v>
      </c>
      <c r="D15" s="14">
        <f>'2026 tavasz'!U16</f>
        <v>55</v>
      </c>
      <c r="E15" s="14">
        <f>'2026 tavasz'!V16</f>
        <v>8.1</v>
      </c>
      <c r="G15" s="30" t="s">
        <v>49</v>
      </c>
      <c r="H15" s="29" t="s">
        <v>50</v>
      </c>
      <c r="I15" s="29" t="s">
        <v>50</v>
      </c>
      <c r="J15" s="29" t="s">
        <v>50</v>
      </c>
      <c r="K15" s="29" t="s">
        <v>50</v>
      </c>
      <c r="L15" s="29" t="s">
        <v>50</v>
      </c>
      <c r="M15" s="30" t="s">
        <v>49</v>
      </c>
      <c r="N15" s="29" t="s">
        <v>50</v>
      </c>
      <c r="O15" s="30" t="s">
        <v>49</v>
      </c>
      <c r="P15" s="29" t="s">
        <v>50</v>
      </c>
      <c r="Q15" s="29" t="s">
        <v>50</v>
      </c>
      <c r="R15" s="28" t="s">
        <v>49</v>
      </c>
      <c r="S15" s="30" t="s">
        <v>49</v>
      </c>
      <c r="T15" s="29" t="s">
        <v>50</v>
      </c>
      <c r="U15" s="29" t="s">
        <v>50</v>
      </c>
    </row>
    <row r="16">
      <c r="B16" s="13" t="str">
        <f>'2026 Tavasz diagram'!B17</f>
        <v>Kellős György</v>
      </c>
      <c r="C16" s="14">
        <f>'2026 tavasz'!C17</f>
        <v>68.6</v>
      </c>
      <c r="D16" s="14">
        <f>'2026 tavasz'!U17</f>
        <v>72</v>
      </c>
      <c r="E16" s="14">
        <f>'2026 tavasz'!V17</f>
        <v>-3.4</v>
      </c>
      <c r="G16" s="30" t="s">
        <v>49</v>
      </c>
      <c r="H16" s="29" t="s">
        <v>50</v>
      </c>
      <c r="I16" s="29" t="s">
        <v>50</v>
      </c>
      <c r="J16" s="29" t="s">
        <v>50</v>
      </c>
      <c r="K16" s="29" t="s">
        <v>50</v>
      </c>
      <c r="L16" s="29" t="s">
        <v>50</v>
      </c>
      <c r="M16" s="30" t="s">
        <v>49</v>
      </c>
      <c r="N16" s="29" t="s">
        <v>50</v>
      </c>
      <c r="O16" s="30" t="s">
        <v>49</v>
      </c>
      <c r="P16" s="30" t="s">
        <v>49</v>
      </c>
      <c r="Q16" s="29" t="s">
        <v>50</v>
      </c>
      <c r="R16" s="29" t="s">
        <v>50</v>
      </c>
      <c r="S16" s="28" t="s">
        <v>49</v>
      </c>
      <c r="T16" s="29" t="s">
        <v>50</v>
      </c>
      <c r="U16" s="29" t="s">
        <v>50</v>
      </c>
    </row>
    <row r="17">
      <c r="B17" s="13" t="str">
        <f>'2026 Tavasz diagram'!B18</f>
        <v>Jákob Tamás</v>
      </c>
      <c r="C17" s="14">
        <f>'2026 tavasz'!I18</f>
        <v>103</v>
      </c>
      <c r="D17" s="14">
        <f>'2026 tavasz'!U18</f>
        <v>97</v>
      </c>
      <c r="E17" s="14">
        <f>'2026 tavasz'!V18</f>
        <v>6</v>
      </c>
      <c r="G17" s="30" t="s">
        <v>49</v>
      </c>
      <c r="H17" s="29" t="s">
        <v>50</v>
      </c>
      <c r="I17" s="30" t="s">
        <v>49</v>
      </c>
      <c r="J17" s="29" t="s">
        <v>50</v>
      </c>
      <c r="K17" s="30" t="s">
        <v>49</v>
      </c>
      <c r="L17" s="29" t="s">
        <v>50</v>
      </c>
      <c r="M17" s="29" t="s">
        <v>50</v>
      </c>
      <c r="N17" s="29" t="s">
        <v>50</v>
      </c>
      <c r="O17" s="29" t="s">
        <v>50</v>
      </c>
      <c r="P17" s="30" t="s">
        <v>49</v>
      </c>
      <c r="Q17" s="29" t="s">
        <v>50</v>
      </c>
      <c r="R17" s="29" t="s">
        <v>50</v>
      </c>
      <c r="S17" s="29" t="s">
        <v>50</v>
      </c>
      <c r="T17" s="30" t="s">
        <v>49</v>
      </c>
      <c r="U17" s="29" t="s">
        <v>50</v>
      </c>
    </row>
    <row r="18">
      <c r="B18" s="13" t="str">
        <f>'2026 Tavasz diagram'!B19</f>
        <v>Tóth Roland</v>
      </c>
      <c r="C18" s="14">
        <f>'2026 tavasz'!I19</f>
        <v>93.6</v>
      </c>
      <c r="D18" s="14">
        <f>'2026 tavasz'!U19</f>
        <v>83.6</v>
      </c>
      <c r="E18" s="14">
        <f>'2026 tavasz'!V19</f>
        <v>10</v>
      </c>
      <c r="G18" s="30" t="s">
        <v>49</v>
      </c>
      <c r="H18" s="29" t="s">
        <v>50</v>
      </c>
      <c r="I18" s="29" t="s">
        <v>50</v>
      </c>
      <c r="J18" s="29" t="s">
        <v>50</v>
      </c>
      <c r="K18" s="29" t="s">
        <v>50</v>
      </c>
      <c r="L18" s="29" t="s">
        <v>50</v>
      </c>
      <c r="M18" s="29" t="s">
        <v>50</v>
      </c>
      <c r="N18" s="29" t="s">
        <v>50</v>
      </c>
      <c r="O18" s="29" t="s">
        <v>50</v>
      </c>
      <c r="P18" s="29" t="s">
        <v>50</v>
      </c>
      <c r="Q18" s="29" t="s">
        <v>50</v>
      </c>
      <c r="R18" s="29" t="s">
        <v>50</v>
      </c>
      <c r="S18" s="29" t="s">
        <v>50</v>
      </c>
      <c r="T18" s="29" t="s">
        <v>50</v>
      </c>
      <c r="U18" s="30" t="s">
        <v>49</v>
      </c>
    </row>
    <row r="22">
      <c r="B22" s="13" t="str">
        <f>'2026 Tavasz diagram'!B20</f>
        <v/>
      </c>
    </row>
    <row r="23">
      <c r="B23" s="31"/>
      <c r="C23" s="32" t="s">
        <v>48</v>
      </c>
      <c r="D23" s="32" t="s">
        <v>51</v>
      </c>
      <c r="E23" s="32" t="s">
        <v>52</v>
      </c>
      <c r="F23" s="33" t="s">
        <v>53</v>
      </c>
      <c r="G23" s="18" t="s">
        <v>54</v>
      </c>
      <c r="I23" s="34" t="s">
        <v>55</v>
      </c>
    </row>
    <row r="24">
      <c r="B24" s="35" t="str">
        <f>'2026 Tavasz diagram'!B22</f>
        <v>Barcsik Kristóf</v>
      </c>
      <c r="C24" s="36">
        <f t="shared" ref="C24:C38" si="1">D4</f>
        <v>112</v>
      </c>
      <c r="D24" s="37">
        <f>IF('2026 tavasz'!T5="",C4,'2026 tavasz'!T5)</f>
        <v>113.5</v>
      </c>
      <c r="E24" s="38" t="str">
        <f t="shared" ref="E24:E35" si="2">IF(D24&lt;C24,"Igen","Nem")</f>
        <v>Nem</v>
      </c>
      <c r="F24" s="39">
        <f t="shared" ref="F24:F38" si="3">D24-C24</f>
        <v>1.5</v>
      </c>
      <c r="G24" s="40">
        <f t="shared" ref="G24:G38" si="4">F24/10</f>
        <v>0.15</v>
      </c>
      <c r="I24" s="41">
        <v>0.0</v>
      </c>
    </row>
    <row r="25">
      <c r="B25" s="42" t="str">
        <f>'2026 Tavasz diagram'!B23</f>
        <v>Galgóczy Ádám</v>
      </c>
      <c r="C25" s="43">
        <f t="shared" si="1"/>
        <v>98</v>
      </c>
      <c r="D25" s="43">
        <f>IF('2026 tavasz'!T6="",C5,'2026 tavasz'!T6)</f>
        <v>102.4</v>
      </c>
      <c r="E25" s="27" t="str">
        <f t="shared" si="2"/>
        <v>Nem</v>
      </c>
      <c r="F25" s="44">
        <f t="shared" si="3"/>
        <v>4.4</v>
      </c>
      <c r="G25" s="45">
        <f t="shared" si="4"/>
        <v>0.44</v>
      </c>
      <c r="I25" s="41">
        <v>0.0</v>
      </c>
    </row>
    <row r="26">
      <c r="B26" s="42" t="str">
        <f>'2026 Tavasz diagram'!B24</f>
        <v>Jávor Tamás</v>
      </c>
      <c r="C26" s="43">
        <f t="shared" si="1"/>
        <v>113</v>
      </c>
      <c r="D26" s="43">
        <f>IF('2026 tavasz'!T7="",C6,'2026 tavasz'!T7)</f>
        <v>112</v>
      </c>
      <c r="E26" s="27" t="str">
        <f t="shared" si="2"/>
        <v>Igen</v>
      </c>
      <c r="F26" s="44">
        <f t="shared" si="3"/>
        <v>-1</v>
      </c>
      <c r="G26" s="45">
        <f t="shared" si="4"/>
        <v>-0.1</v>
      </c>
      <c r="I26" s="41">
        <v>0.0</v>
      </c>
    </row>
    <row r="27">
      <c r="B27" s="42" t="str">
        <f>'2026 Tavasz diagram'!B25</f>
        <v>Krekuska Gábor</v>
      </c>
      <c r="C27" s="43">
        <f t="shared" si="1"/>
        <v>85</v>
      </c>
      <c r="D27" s="43">
        <f>IF('2026 tavasz'!T8="",C7,'2026 tavasz'!T8)</f>
        <v>87.3</v>
      </c>
      <c r="E27" s="27" t="str">
        <f t="shared" si="2"/>
        <v>Nem</v>
      </c>
      <c r="F27" s="44">
        <f t="shared" si="3"/>
        <v>2.3</v>
      </c>
      <c r="G27" s="45">
        <f t="shared" si="4"/>
        <v>0.23</v>
      </c>
      <c r="I27" s="41">
        <v>0.0</v>
      </c>
    </row>
    <row r="28">
      <c r="B28" s="42" t="str">
        <f>'2026 Tavasz diagram'!B26</f>
        <v>Molnár György</v>
      </c>
      <c r="C28" s="43">
        <f t="shared" si="1"/>
        <v>80</v>
      </c>
      <c r="D28" s="43">
        <f>IF('2026 tavasz'!T9="",C8,'2026 tavasz'!T9)</f>
        <v>83.8</v>
      </c>
      <c r="E28" s="27" t="str">
        <f t="shared" si="2"/>
        <v>Nem</v>
      </c>
      <c r="F28" s="44">
        <f t="shared" si="3"/>
        <v>3.8</v>
      </c>
      <c r="G28" s="45">
        <f t="shared" si="4"/>
        <v>0.38</v>
      </c>
      <c r="I28" s="41">
        <v>0.0</v>
      </c>
    </row>
    <row r="29">
      <c r="B29" s="42" t="str">
        <f>'2026 Tavasz diagram'!B27</f>
        <v>Varga Szabolcs</v>
      </c>
      <c r="C29" s="43">
        <f t="shared" si="1"/>
        <v>95</v>
      </c>
      <c r="D29" s="43">
        <f>IF('2026 tavasz'!T10="",C9,'2026 tavasz'!T10)</f>
        <v>101.3</v>
      </c>
      <c r="E29" s="27" t="str">
        <f t="shared" si="2"/>
        <v>Nem</v>
      </c>
      <c r="F29" s="44">
        <f t="shared" si="3"/>
        <v>6.3</v>
      </c>
      <c r="G29" s="45">
        <f t="shared" si="4"/>
        <v>0.63</v>
      </c>
      <c r="I29" s="41">
        <v>0.0</v>
      </c>
    </row>
    <row r="30">
      <c r="B30" s="42" t="str">
        <f>'2026 Tavasz diagram'!B28</f>
        <v>Vaspál Gergő</v>
      </c>
      <c r="C30" s="43">
        <f t="shared" si="1"/>
        <v>89</v>
      </c>
      <c r="D30" s="43">
        <f>IF('2026 tavasz'!T11="",C10,'2026 tavasz'!T11)</f>
        <v>92.5</v>
      </c>
      <c r="E30" s="27" t="str">
        <f t="shared" si="2"/>
        <v>Nem</v>
      </c>
      <c r="F30" s="44">
        <f t="shared" si="3"/>
        <v>3.5</v>
      </c>
      <c r="G30" s="45">
        <f t="shared" si="4"/>
        <v>0.35</v>
      </c>
      <c r="I30" s="41">
        <v>0.0</v>
      </c>
    </row>
    <row r="31">
      <c r="B31" s="42" t="str">
        <f>'2026 Tavasz diagram'!B29</f>
        <v>Várnoki Ádám</v>
      </c>
      <c r="C31" s="43">
        <f t="shared" si="1"/>
        <v>100</v>
      </c>
      <c r="D31" s="43">
        <f>IF('2026 tavasz'!T12="",C11,'2026 tavasz'!T12)</f>
        <v>101.9</v>
      </c>
      <c r="E31" s="27" t="str">
        <f t="shared" si="2"/>
        <v>Nem</v>
      </c>
      <c r="F31" s="44">
        <f t="shared" si="3"/>
        <v>1.9</v>
      </c>
      <c r="G31" s="45">
        <f t="shared" si="4"/>
        <v>0.19</v>
      </c>
      <c r="I31" s="41">
        <v>0.0</v>
      </c>
    </row>
    <row r="32">
      <c r="B32" s="42" t="str">
        <f>'2026 Tavasz diagram'!B30</f>
        <v>Szikora István</v>
      </c>
      <c r="C32" s="43">
        <f t="shared" si="1"/>
        <v>95</v>
      </c>
      <c r="D32" s="43">
        <f>IF('2026 tavasz'!T13="",C12,'2026 tavasz'!T13)</f>
        <v>99.4</v>
      </c>
      <c r="E32" s="27" t="str">
        <f t="shared" si="2"/>
        <v>Nem</v>
      </c>
      <c r="F32" s="44">
        <f t="shared" si="3"/>
        <v>4.4</v>
      </c>
      <c r="G32" s="45">
        <f t="shared" si="4"/>
        <v>0.44</v>
      </c>
      <c r="I32" s="41">
        <v>0.0</v>
      </c>
    </row>
    <row r="33">
      <c r="B33" s="42" t="str">
        <f>'2026 Tavasz diagram'!B31</f>
        <v>Kováts Tibor</v>
      </c>
      <c r="C33" s="43">
        <f t="shared" si="1"/>
        <v>95.9</v>
      </c>
      <c r="D33" s="43">
        <f>IF('2026 tavasz'!T14="",C13,'2026 tavasz'!T14)</f>
        <v>97.2</v>
      </c>
      <c r="E33" s="27" t="str">
        <f t="shared" si="2"/>
        <v>Nem</v>
      </c>
      <c r="F33" s="44">
        <f t="shared" si="3"/>
        <v>1.3</v>
      </c>
      <c r="G33" s="45">
        <f t="shared" si="4"/>
        <v>0.13</v>
      </c>
      <c r="I33" s="41">
        <v>0.0</v>
      </c>
    </row>
    <row r="34">
      <c r="B34" s="42" t="str">
        <f>'2026 Tavasz diagram'!B32</f>
        <v>Zorván Zoárd</v>
      </c>
      <c r="C34" s="43">
        <f t="shared" si="1"/>
        <v>72</v>
      </c>
      <c r="D34" s="43">
        <f>IF('2026 tavasz'!T15="",C14,'2026 tavasz'!T15)</f>
        <v>75.4</v>
      </c>
      <c r="E34" s="27" t="str">
        <f t="shared" si="2"/>
        <v>Nem</v>
      </c>
      <c r="F34" s="44">
        <f t="shared" si="3"/>
        <v>3.4</v>
      </c>
      <c r="G34" s="45">
        <f t="shared" si="4"/>
        <v>0.34</v>
      </c>
      <c r="I34" s="41">
        <v>0.0</v>
      </c>
    </row>
    <row r="35">
      <c r="B35" s="42" t="str">
        <f>'2026 Tavasz diagram'!B33</f>
        <v>Beötthy Tímea</v>
      </c>
      <c r="C35" s="43">
        <f t="shared" si="1"/>
        <v>55</v>
      </c>
      <c r="D35" s="43">
        <f>IF('2026 tavasz'!T16="",C15,'2026 tavasz'!T16)</f>
        <v>63</v>
      </c>
      <c r="E35" s="27" t="str">
        <f t="shared" si="2"/>
        <v>Nem</v>
      </c>
      <c r="F35" s="44">
        <f t="shared" si="3"/>
        <v>8</v>
      </c>
      <c r="G35" s="45">
        <f t="shared" si="4"/>
        <v>0.8</v>
      </c>
      <c r="I35" s="41">
        <v>0.0</v>
      </c>
    </row>
    <row r="36">
      <c r="B36" s="46" t="str">
        <f>'2026 Tavasz diagram'!B34</f>
        <v>Kellős György</v>
      </c>
      <c r="C36" s="47">
        <f t="shared" si="1"/>
        <v>72</v>
      </c>
      <c r="D36" s="47">
        <f>'2026 tavasz'!T17</f>
        <v>69.6</v>
      </c>
      <c r="E36" s="27" t="str">
        <f>IF(D36&gt;C36,"Igen","Nem")</f>
        <v>Nem</v>
      </c>
      <c r="F36" s="48">
        <f t="shared" si="3"/>
        <v>-2.4</v>
      </c>
      <c r="G36" s="45">
        <f t="shared" si="4"/>
        <v>-0.24</v>
      </c>
      <c r="I36" s="41">
        <v>0.0</v>
      </c>
    </row>
    <row r="37">
      <c r="B37" s="42" t="str">
        <f>'2026 Tavasz diagram'!B35</f>
        <v>Jákob Tamás</v>
      </c>
      <c r="C37" s="43">
        <f t="shared" si="1"/>
        <v>97</v>
      </c>
      <c r="D37" s="43">
        <f>IF('2026 tavasz'!T18="",C17,'2026 tavasz'!T18)</f>
        <v>102.2</v>
      </c>
      <c r="E37" s="27" t="str">
        <f t="shared" ref="E37:E38" si="5">IF(D37&lt;C37,"Igen","Nem")</f>
        <v>Nem</v>
      </c>
      <c r="F37" s="44">
        <f t="shared" si="3"/>
        <v>5.2</v>
      </c>
      <c r="G37" s="45">
        <f t="shared" si="4"/>
        <v>0.52</v>
      </c>
      <c r="I37" s="41">
        <v>0.0</v>
      </c>
    </row>
    <row r="38">
      <c r="B38" s="49" t="str">
        <f>'2026 Tavasz diagram'!B36</f>
        <v>Tóth Roland</v>
      </c>
      <c r="C38" s="50">
        <f t="shared" si="1"/>
        <v>83.6</v>
      </c>
      <c r="D38" s="50">
        <f>IF('2026 tavasz'!T19="",C18,'2026 tavasz'!T19)</f>
        <v>92.4</v>
      </c>
      <c r="E38" s="51" t="str">
        <f t="shared" si="5"/>
        <v>Nem</v>
      </c>
      <c r="F38" s="52">
        <f t="shared" si="3"/>
        <v>8.8</v>
      </c>
      <c r="G38" s="53">
        <f t="shared" si="4"/>
        <v>0.88</v>
      </c>
      <c r="I38" s="54">
        <v>0.0</v>
      </c>
    </row>
    <row r="41">
      <c r="B41" s="35"/>
      <c r="C41" s="55" t="s">
        <v>56</v>
      </c>
      <c r="D41" s="56"/>
      <c r="E41" s="56"/>
      <c r="F41" s="57"/>
    </row>
    <row r="42">
      <c r="B42" s="42"/>
      <c r="C42" s="58" t="s">
        <v>57</v>
      </c>
      <c r="D42" s="59" t="s">
        <v>58</v>
      </c>
      <c r="E42" s="59" t="s">
        <v>59</v>
      </c>
      <c r="F42" s="60" t="s">
        <v>60</v>
      </c>
    </row>
    <row r="43">
      <c r="B43" s="42"/>
      <c r="C43" s="61" t="s">
        <v>61</v>
      </c>
      <c r="D43" s="62" t="s">
        <v>62</v>
      </c>
      <c r="E43" s="62" t="s">
        <v>63</v>
      </c>
      <c r="F43" s="63" t="s">
        <v>64</v>
      </c>
    </row>
    <row r="44">
      <c r="B44" s="35" t="str">
        <f>'2026 Tavasz diagram'!B22</f>
        <v>Barcsik Kristóf</v>
      </c>
      <c r="C44" s="64" t="str">
        <f t="shared" ref="C44:C55" si="6">IF(D24&lt;(C24+E4*0.75),"Igen","Nem")</f>
        <v>Igen</v>
      </c>
      <c r="D44" s="38" t="str">
        <f t="shared" ref="D44:D55" si="7">IF(D24&lt;(C24+E4*0.5),"Igen","Nem")</f>
        <v>Igen</v>
      </c>
      <c r="E44" s="38" t="str">
        <f t="shared" ref="E44:E55" si="8">IF(D24&lt;(C24+E4*0.25),"Igen","Nem")</f>
        <v>Nem</v>
      </c>
      <c r="F44" s="65" t="str">
        <f>IF(D24&lt;(C24),"Igen","Nem")</f>
        <v>Nem</v>
      </c>
      <c r="H44" s="35" t="str">
        <f>'2026 Tavasz diagram'!B22</f>
        <v>Barcsik Kristóf</v>
      </c>
      <c r="I44" s="66">
        <f t="shared" ref="I44:I55" si="9">IF(D24="",0,IF(D24&gt;C4,0,(C4-D24)/E4))</f>
        <v>0.6341463415</v>
      </c>
    </row>
    <row r="45">
      <c r="B45" s="42" t="str">
        <f>'2026 Tavasz diagram'!B23</f>
        <v>Galgóczy Ádám</v>
      </c>
      <c r="C45" s="67" t="str">
        <f t="shared" si="6"/>
        <v>Nem</v>
      </c>
      <c r="D45" s="27" t="str">
        <f t="shared" si="7"/>
        <v>Nem</v>
      </c>
      <c r="E45" s="27" t="str">
        <f t="shared" si="8"/>
        <v>Nem</v>
      </c>
      <c r="F45" s="68" t="str">
        <f>IF(D25&lt;(C25+E5*0.25),"Igen","Nem")</f>
        <v>Nem</v>
      </c>
      <c r="H45" s="42" t="str">
        <f>'2026 Tavasz diagram'!B23</f>
        <v>Galgóczy Ádám</v>
      </c>
      <c r="I45" s="69">
        <f t="shared" si="9"/>
        <v>0</v>
      </c>
    </row>
    <row r="46">
      <c r="B46" s="42" t="str">
        <f>'2026 Tavasz diagram'!B24</f>
        <v>Jávor Tamás</v>
      </c>
      <c r="C46" s="67" t="str">
        <f t="shared" si="6"/>
        <v>Igen</v>
      </c>
      <c r="D46" s="27" t="str">
        <f t="shared" si="7"/>
        <v>Igen</v>
      </c>
      <c r="E46" s="27" t="str">
        <f t="shared" si="8"/>
        <v>Igen</v>
      </c>
      <c r="F46" s="68" t="str">
        <f t="shared" ref="F46:F55" si="10">IF(D26&lt;(C26),"Igen","Nem")</f>
        <v>Igen</v>
      </c>
      <c r="H46" s="42" t="str">
        <f>'2026 Tavasz diagram'!B24</f>
        <v>Jávor Tamás</v>
      </c>
      <c r="I46" s="69">
        <f t="shared" si="9"/>
        <v>1.303030303</v>
      </c>
    </row>
    <row r="47">
      <c r="B47" s="42" t="str">
        <f>'2026 Tavasz diagram'!B25</f>
        <v>Krekuska Gábor</v>
      </c>
      <c r="C47" s="67" t="str">
        <f t="shared" si="6"/>
        <v>Nem</v>
      </c>
      <c r="D47" s="27" t="str">
        <f t="shared" si="7"/>
        <v>Nem</v>
      </c>
      <c r="E47" s="27" t="str">
        <f t="shared" si="8"/>
        <v>Nem</v>
      </c>
      <c r="F47" s="68" t="str">
        <f t="shared" si="10"/>
        <v>Nem</v>
      </c>
      <c r="H47" s="42" t="str">
        <f>'2026 Tavasz diagram'!B25</f>
        <v>Krekuska Gábor</v>
      </c>
      <c r="I47" s="69">
        <f t="shared" si="9"/>
        <v>0.1481481481</v>
      </c>
    </row>
    <row r="48">
      <c r="B48" s="42" t="str">
        <f>'2026 Tavasz diagram'!B26</f>
        <v>Molnár György</v>
      </c>
      <c r="C48" s="67" t="str">
        <f t="shared" si="6"/>
        <v>Igen</v>
      </c>
      <c r="D48" s="27" t="str">
        <f t="shared" si="7"/>
        <v>Igen</v>
      </c>
      <c r="E48" s="27" t="str">
        <f t="shared" si="8"/>
        <v>Nem</v>
      </c>
      <c r="F48" s="68" t="str">
        <f t="shared" si="10"/>
        <v>Nem</v>
      </c>
      <c r="H48" s="42" t="str">
        <f>'2026 Tavasz diagram'!B26</f>
        <v>Molnár György</v>
      </c>
      <c r="I48" s="69">
        <f t="shared" si="9"/>
        <v>0.5421686747</v>
      </c>
    </row>
    <row r="49">
      <c r="B49" s="42" t="str">
        <f>'2026 Tavasz diagram'!B27</f>
        <v>Varga Szabolcs</v>
      </c>
      <c r="C49" s="67" t="str">
        <f t="shared" si="6"/>
        <v>Igen</v>
      </c>
      <c r="D49" s="27" t="str">
        <f t="shared" si="7"/>
        <v>Nem</v>
      </c>
      <c r="E49" s="27" t="str">
        <f t="shared" si="8"/>
        <v>Nem</v>
      </c>
      <c r="F49" s="68" t="str">
        <f t="shared" si="10"/>
        <v>Nem</v>
      </c>
      <c r="H49" s="42" t="str">
        <f>'2026 Tavasz diagram'!B27</f>
        <v>Varga Szabolcs</v>
      </c>
      <c r="I49" s="69">
        <f t="shared" si="9"/>
        <v>0.3883495146</v>
      </c>
    </row>
    <row r="50">
      <c r="B50" s="42" t="str">
        <f>'2026 Tavasz diagram'!B28</f>
        <v>Vaspál Gergő</v>
      </c>
      <c r="C50" s="67" t="str">
        <f t="shared" si="6"/>
        <v>Nem</v>
      </c>
      <c r="D50" s="27" t="str">
        <f t="shared" si="7"/>
        <v>Nem</v>
      </c>
      <c r="E50" s="27" t="str">
        <f t="shared" si="8"/>
        <v>Nem</v>
      </c>
      <c r="F50" s="68" t="str">
        <f t="shared" si="10"/>
        <v>Nem</v>
      </c>
      <c r="H50" s="42" t="str">
        <f>'2026 Tavasz diagram'!B28</f>
        <v>Vaspál Gergő</v>
      </c>
      <c r="I50" s="69">
        <f t="shared" si="9"/>
        <v>0</v>
      </c>
    </row>
    <row r="51">
      <c r="B51" s="42" t="str">
        <f>'2026 Tavasz diagram'!B29</f>
        <v>Várnoki Ádám</v>
      </c>
      <c r="C51" s="67" t="str">
        <f t="shared" si="6"/>
        <v>Igen</v>
      </c>
      <c r="D51" s="27" t="str">
        <f t="shared" si="7"/>
        <v>Igen</v>
      </c>
      <c r="E51" s="27" t="str">
        <f t="shared" si="8"/>
        <v>Igen</v>
      </c>
      <c r="F51" s="68" t="str">
        <f t="shared" si="10"/>
        <v>Nem</v>
      </c>
      <c r="H51" s="42" t="str">
        <f>'2026 Tavasz diagram'!B29</f>
        <v>Várnoki Ádám</v>
      </c>
      <c r="I51" s="69">
        <f t="shared" si="9"/>
        <v>0.7738095238</v>
      </c>
    </row>
    <row r="52">
      <c r="B52" s="42" t="str">
        <f>'2026 Tavasz diagram'!B30</f>
        <v>Szikora István</v>
      </c>
      <c r="C52" s="67" t="str">
        <f t="shared" si="6"/>
        <v>Igen</v>
      </c>
      <c r="D52" s="27" t="str">
        <f t="shared" si="7"/>
        <v>Nem</v>
      </c>
      <c r="E52" s="27" t="str">
        <f t="shared" si="8"/>
        <v>Nem</v>
      </c>
      <c r="F52" s="68" t="str">
        <f t="shared" si="10"/>
        <v>Nem</v>
      </c>
      <c r="H52" s="42" t="str">
        <f>'2026 Tavasz diagram'!B30</f>
        <v>Szikora István</v>
      </c>
      <c r="I52" s="69">
        <f t="shared" si="9"/>
        <v>0.3802816901</v>
      </c>
    </row>
    <row r="53">
      <c r="B53" s="42" t="str">
        <f>'2026 Tavasz diagram'!B31</f>
        <v>Kováts Tibor</v>
      </c>
      <c r="C53" s="67" t="str">
        <f t="shared" si="6"/>
        <v>Nem</v>
      </c>
      <c r="D53" s="27" t="str">
        <f t="shared" si="7"/>
        <v>Nem</v>
      </c>
      <c r="E53" s="27" t="str">
        <f t="shared" si="8"/>
        <v>Nem</v>
      </c>
      <c r="F53" s="68" t="str">
        <f t="shared" si="10"/>
        <v>Nem</v>
      </c>
      <c r="H53" s="42" t="str">
        <f>'2026 Tavasz diagram'!B31</f>
        <v>Kováts Tibor</v>
      </c>
      <c r="I53" s="69">
        <f t="shared" si="9"/>
        <v>0</v>
      </c>
    </row>
    <row r="54">
      <c r="B54" s="42" t="str">
        <f>'2026 Tavasz diagram'!B32</f>
        <v>Zorván Zoárd</v>
      </c>
      <c r="C54" s="67" t="str">
        <f t="shared" si="6"/>
        <v>Igen</v>
      </c>
      <c r="D54" s="27" t="str">
        <f t="shared" si="7"/>
        <v>Igen</v>
      </c>
      <c r="E54" s="27" t="str">
        <f t="shared" si="8"/>
        <v>Nem</v>
      </c>
      <c r="F54" s="68" t="str">
        <f t="shared" si="10"/>
        <v>Nem</v>
      </c>
      <c r="H54" s="42" t="str">
        <f>'2026 Tavasz diagram'!B32</f>
        <v>Zorván Zoárd</v>
      </c>
      <c r="I54" s="69">
        <f t="shared" si="9"/>
        <v>0.5802469136</v>
      </c>
    </row>
    <row r="55">
      <c r="B55" s="42" t="str">
        <f>'2026 Tavasz diagram'!B33</f>
        <v>Beötthy Tímea</v>
      </c>
      <c r="C55" s="67" t="str">
        <f t="shared" si="6"/>
        <v>Nem</v>
      </c>
      <c r="D55" s="27" t="str">
        <f t="shared" si="7"/>
        <v>Nem</v>
      </c>
      <c r="E55" s="27" t="str">
        <f t="shared" si="8"/>
        <v>Nem</v>
      </c>
      <c r="F55" s="68" t="str">
        <f t="shared" si="10"/>
        <v>Nem</v>
      </c>
      <c r="H55" s="42" t="str">
        <f>'2026 Tavasz diagram'!B33</f>
        <v>Beötthy Tímea</v>
      </c>
      <c r="I55" s="69">
        <f t="shared" si="9"/>
        <v>0.01234567901</v>
      </c>
    </row>
    <row r="56">
      <c r="B56" s="42" t="str">
        <f>'2026 Tavasz diagram'!B34</f>
        <v>Kellős György</v>
      </c>
      <c r="C56" s="27" t="str">
        <f>IF(D36&gt;(C36+E16*0.75),"Igen","Nem")</f>
        <v>Igen</v>
      </c>
      <c r="D56" s="27" t="str">
        <f>IF(D36&gt;(C36+E16*0.5),"Igen","Nem")</f>
        <v>Nem</v>
      </c>
      <c r="E56" s="27" t="str">
        <f>IF(D36&gt;(C36+E16*0.25),"Igen","Nem")</f>
        <v>Nem</v>
      </c>
      <c r="F56" s="68" t="str">
        <f>IF(D36&gt;(C36),"Igen","Nem")</f>
        <v>Nem</v>
      </c>
      <c r="H56" s="42" t="str">
        <f>'2026 Tavasz diagram'!B34</f>
        <v>Kellős György</v>
      </c>
      <c r="I56" s="69">
        <f>IF(D36="",0,IF(D36&lt;C16,0,(C16-D36)/E16))</f>
        <v>0.2941176471</v>
      </c>
    </row>
    <row r="57">
      <c r="B57" s="42" t="str">
        <f>'2026 Tavasz diagram'!B35</f>
        <v>Jákob Tamás</v>
      </c>
      <c r="C57" s="67" t="str">
        <f t="shared" ref="C57:C58" si="11">IF(D37&lt;(C37+E17*0.75),"Igen","Nem")</f>
        <v>Nem</v>
      </c>
      <c r="D57" s="27" t="str">
        <f t="shared" ref="D57:D58" si="12">IF(D37&lt;(C37+E17*0.5),"Igen","Nem")</f>
        <v>Nem</v>
      </c>
      <c r="E57" s="27" t="str">
        <f t="shared" ref="E57:E58" si="13">IF(D37&lt;(C37+E17*0.25),"Igen","Nem")</f>
        <v>Nem</v>
      </c>
      <c r="F57" s="68" t="str">
        <f t="shared" ref="F57:F58" si="14">IF(D37&lt;(C37),"Igen","Nem")</f>
        <v>Nem</v>
      </c>
      <c r="H57" s="42" t="str">
        <f>'2026 Tavasz diagram'!B35</f>
        <v>Jákob Tamás</v>
      </c>
      <c r="I57" s="69">
        <f t="shared" ref="I57:I58" si="15">IF(D37="",0,IF(D37&gt;C17,0,(C17-D37)/E17))</f>
        <v>0.1333333333</v>
      </c>
    </row>
    <row r="58">
      <c r="B58" s="49" t="str">
        <f>'2026 Tavasz diagram'!B36</f>
        <v>Tóth Roland</v>
      </c>
      <c r="C58" s="70" t="str">
        <f t="shared" si="11"/>
        <v>Nem</v>
      </c>
      <c r="D58" s="51" t="str">
        <f t="shared" si="12"/>
        <v>Nem</v>
      </c>
      <c r="E58" s="51" t="str">
        <f t="shared" si="13"/>
        <v>Nem</v>
      </c>
      <c r="F58" s="71" t="str">
        <f t="shared" si="14"/>
        <v>Nem</v>
      </c>
      <c r="H58" s="49" t="str">
        <f>'2026 Tavasz diagram'!B36</f>
        <v>Tóth Roland</v>
      </c>
      <c r="I58" s="72">
        <f t="shared" si="15"/>
        <v>0.12</v>
      </c>
    </row>
  </sheetData>
  <mergeCells count="1">
    <mergeCell ref="C41:F41"/>
  </mergeCells>
  <conditionalFormatting sqref="E24:E38 C44:F58">
    <cfRule type="cellIs" dxfId="0" priority="1" operator="equal">
      <formula>"Nem"</formula>
    </cfRule>
  </conditionalFormatting>
  <conditionalFormatting sqref="E24:E38 C44:F58">
    <cfRule type="cellIs" dxfId="1" priority="2" operator="equal">
      <formula>"Igen"</formula>
    </cfRule>
  </conditionalFormatting>
  <conditionalFormatting sqref="G24:G38">
    <cfRule type="cellIs" dxfId="2" priority="3" operator="lessThan">
      <formula>0.5</formula>
    </cfRule>
  </conditionalFormatting>
  <conditionalFormatting sqref="G24:G38">
    <cfRule type="cellIs" dxfId="3" priority="4" operator="between">
      <formula>0.5</formula>
      <formula>0.99</formula>
    </cfRule>
  </conditionalFormatting>
  <conditionalFormatting sqref="G24:G38">
    <cfRule type="cellIs" dxfId="4" priority="5" operator="between">
      <formula>1</formula>
      <formula>1.5</formula>
    </cfRule>
  </conditionalFormatting>
  <conditionalFormatting sqref="G24:G38">
    <cfRule type="cellIs" dxfId="5" priority="6" operator="between">
      <formula>1.51</formula>
      <formula>99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3">
      <c r="C3" s="2">
        <v>45698.0</v>
      </c>
      <c r="D3" s="3">
        <v>45705.0</v>
      </c>
      <c r="E3" s="3">
        <v>45712.0</v>
      </c>
      <c r="F3" s="3">
        <v>45719.0</v>
      </c>
      <c r="G3" s="3">
        <v>45726.0</v>
      </c>
      <c r="H3" s="3">
        <v>45733.0</v>
      </c>
      <c r="I3" s="3">
        <v>45740.0</v>
      </c>
      <c r="J3" s="3">
        <v>45747.0</v>
      </c>
      <c r="K3" s="3">
        <v>45754.0</v>
      </c>
      <c r="L3" s="4">
        <v>45761.0</v>
      </c>
      <c r="M3" s="5">
        <v>45769.0</v>
      </c>
      <c r="N3" s="5">
        <v>45775.0</v>
      </c>
      <c r="O3" s="5">
        <v>45782.0</v>
      </c>
      <c r="P3" s="5">
        <v>45789.0</v>
      </c>
      <c r="Q3" s="5">
        <v>45796.0</v>
      </c>
      <c r="R3" s="5">
        <v>45803.0</v>
      </c>
      <c r="S3" s="5">
        <v>45810.0</v>
      </c>
      <c r="T3" s="3">
        <v>45818.0</v>
      </c>
      <c r="U3" s="3">
        <v>45824.0</v>
      </c>
      <c r="V3" s="3">
        <v>45831.0</v>
      </c>
      <c r="W3" s="3">
        <v>45838.0</v>
      </c>
      <c r="X3" s="3">
        <v>45845.0</v>
      </c>
      <c r="Y3" s="3">
        <v>45852.0</v>
      </c>
      <c r="Z3" s="3">
        <v>45859.0</v>
      </c>
      <c r="AA3" s="3">
        <v>45866.0</v>
      </c>
      <c r="AB3" s="3"/>
      <c r="AC3" s="3"/>
      <c r="AD3" s="3"/>
      <c r="AE3" s="2">
        <v>45894.0</v>
      </c>
      <c r="AF3" s="3">
        <v>45901.0</v>
      </c>
      <c r="AG3" s="3">
        <v>45908.0</v>
      </c>
      <c r="AH3" s="3">
        <v>45915.0</v>
      </c>
      <c r="AI3" s="3">
        <v>45922.0</v>
      </c>
      <c r="AJ3" s="3">
        <v>45929.0</v>
      </c>
      <c r="AK3" s="3">
        <v>45936.0</v>
      </c>
      <c r="AL3" s="3">
        <v>45943.0</v>
      </c>
      <c r="AM3" s="3">
        <v>45950.0</v>
      </c>
      <c r="AN3" s="4">
        <v>45957.0</v>
      </c>
      <c r="AO3" s="5">
        <v>45964.0</v>
      </c>
      <c r="AP3" s="5">
        <v>45971.0</v>
      </c>
      <c r="AQ3" s="5">
        <v>45978.0</v>
      </c>
      <c r="AR3" s="5">
        <v>45985.0</v>
      </c>
      <c r="AS3" s="5">
        <v>45992.0</v>
      </c>
      <c r="AT3" s="5">
        <v>45999.0</v>
      </c>
    </row>
    <row r="4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>
      <c r="B5" s="1" t="s">
        <v>25</v>
      </c>
      <c r="C5" s="8">
        <v>113.7</v>
      </c>
      <c r="D5" s="9">
        <v>113.0</v>
      </c>
      <c r="E5" s="9">
        <v>113.3</v>
      </c>
      <c r="F5" s="9">
        <v>113.8</v>
      </c>
      <c r="G5" s="9">
        <v>113.3</v>
      </c>
      <c r="H5" s="9">
        <v>114.0</v>
      </c>
      <c r="I5" s="9">
        <v>113.6</v>
      </c>
      <c r="J5" s="9">
        <v>115.2</v>
      </c>
      <c r="K5" s="9">
        <v>114.3</v>
      </c>
      <c r="L5" s="9">
        <v>114.6</v>
      </c>
      <c r="M5" s="9">
        <v>114.0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 t="str">
        <f>'2026 tavasz'!K5</f>
        <v/>
      </c>
      <c r="AN5" s="9" t="str">
        <f>'2026 tavasz'!L5</f>
        <v/>
      </c>
      <c r="AO5" s="9" t="str">
        <f>'2026 tavasz'!M5</f>
        <v/>
      </c>
      <c r="AP5" s="9" t="str">
        <f>'2026 tavasz'!N5</f>
        <v/>
      </c>
      <c r="AQ5" s="9" t="str">
        <f>'2026 tavasz'!O5</f>
        <v/>
      </c>
      <c r="AR5" s="9" t="str">
        <f>'2026 tavasz'!P5</f>
        <v/>
      </c>
      <c r="AS5" s="9" t="str">
        <f>'2026 tavasz'!Q5</f>
        <v/>
      </c>
      <c r="AT5" s="9" t="str">
        <f>'2026 tavasz'!R5</f>
        <v/>
      </c>
    </row>
    <row r="6">
      <c r="B6" s="1" t="s">
        <v>26</v>
      </c>
      <c r="C6" s="9">
        <v>107.5</v>
      </c>
      <c r="D6" s="9">
        <v>106.2</v>
      </c>
      <c r="E6" s="9">
        <v>105.3</v>
      </c>
      <c r="F6" s="9">
        <v>106.0</v>
      </c>
      <c r="G6" s="9">
        <v>106.0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103.0</v>
      </c>
      <c r="R6" s="9">
        <v>103.9</v>
      </c>
      <c r="S6" s="9">
        <v>99.4</v>
      </c>
      <c r="T6" s="9">
        <v>100.5</v>
      </c>
      <c r="U6" s="9">
        <v>102.0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 t="str">
        <f>'2026 tavasz'!K6</f>
        <v/>
      </c>
      <c r="AN6" s="9" t="str">
        <f>'2026 tavasz'!L6</f>
        <v/>
      </c>
      <c r="AO6" s="9" t="str">
        <f>'2026 tavasz'!M6</f>
        <v/>
      </c>
      <c r="AP6" s="9" t="str">
        <f>'2026 tavasz'!N6</f>
        <v/>
      </c>
      <c r="AQ6" s="9" t="str">
        <f>'2026 tavasz'!O6</f>
        <v/>
      </c>
      <c r="AR6" s="9" t="str">
        <f>'2026 tavasz'!P6</f>
        <v/>
      </c>
      <c r="AS6" s="9" t="str">
        <f>'2026 tavasz'!Q6</f>
        <v/>
      </c>
      <c r="AT6" s="9" t="str">
        <f>'2026 tavasz'!R6</f>
        <v/>
      </c>
    </row>
    <row r="7">
      <c r="B7" s="1" t="s">
        <v>27</v>
      </c>
      <c r="C7" s="9">
        <v>117.7</v>
      </c>
      <c r="D7" s="9">
        <v>117.7</v>
      </c>
      <c r="E7" s="9">
        <v>117.6</v>
      </c>
      <c r="F7" s="9">
        <v>118.0</v>
      </c>
      <c r="G7" s="9">
        <v>118.1</v>
      </c>
      <c r="H7" s="9">
        <v>117.0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 t="str">
        <f>'2026 tavasz'!K7</f>
        <v/>
      </c>
      <c r="AN7" s="9" t="str">
        <f>'2026 tavasz'!L7</f>
        <v/>
      </c>
      <c r="AO7" s="9" t="str">
        <f>'2026 tavasz'!M7</f>
        <v/>
      </c>
      <c r="AP7" s="9" t="str">
        <f>'2026 tavasz'!N7</f>
        <v/>
      </c>
      <c r="AQ7" s="9" t="str">
        <f>'2026 tavasz'!O7</f>
        <v/>
      </c>
      <c r="AR7" s="9" t="str">
        <f>'2026 tavasz'!P7</f>
        <v/>
      </c>
      <c r="AS7" s="9" t="str">
        <f>'2026 tavasz'!Q7</f>
        <v/>
      </c>
      <c r="AT7" s="9" t="str">
        <f>'2026 tavasz'!R7</f>
        <v/>
      </c>
    </row>
    <row r="8">
      <c r="B8" s="1" t="s">
        <v>28</v>
      </c>
      <c r="C8" s="9">
        <v>89.0</v>
      </c>
      <c r="D8" s="9">
        <v>88.4</v>
      </c>
      <c r="E8" s="9">
        <v>88.1</v>
      </c>
      <c r="F8" s="9">
        <v>87.0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88.0</v>
      </c>
      <c r="Q8" s="9">
        <v>87.6</v>
      </c>
      <c r="R8" s="9">
        <v>88.1</v>
      </c>
      <c r="S8" s="9">
        <v>85.6</v>
      </c>
      <c r="T8" s="9">
        <v>88.0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 t="str">
        <f>'2026 tavasz'!K8</f>
        <v/>
      </c>
      <c r="AN8" s="9" t="str">
        <f>'2026 tavasz'!L8</f>
        <v/>
      </c>
      <c r="AO8" s="9" t="str">
        <f>'2026 tavasz'!M8</f>
        <v/>
      </c>
      <c r="AP8" s="9" t="str">
        <f>'2026 tavasz'!N8</f>
        <v/>
      </c>
      <c r="AQ8" s="9" t="str">
        <f>'2026 tavasz'!O8</f>
        <v/>
      </c>
      <c r="AR8" s="9" t="str">
        <f>'2026 tavasz'!P8</f>
        <v/>
      </c>
      <c r="AS8" s="9" t="str">
        <f>'2026 tavasz'!Q8</f>
        <v/>
      </c>
      <c r="AT8" s="9" t="str">
        <f>'2026 tavasz'!R8</f>
        <v/>
      </c>
    </row>
    <row r="9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93.0</v>
      </c>
      <c r="J9" s="9">
        <v>93.0</v>
      </c>
      <c r="K9" s="9">
        <v>93.0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93.0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 t="str">
        <f>'2026 tavasz'!K9</f>
        <v/>
      </c>
      <c r="AN9" s="9" t="str">
        <f>'2026 tavasz'!L9</f>
        <v/>
      </c>
      <c r="AO9" s="9" t="str">
        <f>'2026 tavasz'!M9</f>
        <v/>
      </c>
      <c r="AP9" s="9" t="str">
        <f>'2026 tavasz'!N9</f>
        <v/>
      </c>
      <c r="AQ9" s="9" t="str">
        <f>'2026 tavasz'!O9</f>
        <v/>
      </c>
      <c r="AR9" s="9" t="str">
        <f>'2026 tavasz'!P9</f>
        <v/>
      </c>
      <c r="AS9" s="9" t="str">
        <f>'2026 tavasz'!Q9</f>
        <v/>
      </c>
      <c r="AT9" s="9" t="str">
        <f>'2026 tavasz'!R9</f>
        <v/>
      </c>
    </row>
    <row r="10">
      <c r="B10" s="1" t="s">
        <v>30</v>
      </c>
      <c r="C10" s="9">
        <v>98.7</v>
      </c>
      <c r="D10" s="9">
        <v>98.3</v>
      </c>
      <c r="E10" s="9">
        <v>98.1</v>
      </c>
      <c r="F10" s="9">
        <v>98.0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98.0</v>
      </c>
      <c r="M10" s="9">
        <v>98.7</v>
      </c>
      <c r="N10" s="9">
        <v>98.0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99.0</v>
      </c>
      <c r="V10" s="9">
        <v>98.2</v>
      </c>
      <c r="W10" s="9">
        <v>99.0</v>
      </c>
      <c r="X10" s="9">
        <v>97.9</v>
      </c>
      <c r="Y10" s="9">
        <v>99.3</v>
      </c>
      <c r="Z10" s="9">
        <v>100.0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 t="str">
        <f>'2026 tavasz'!K10</f>
        <v/>
      </c>
      <c r="AN10" s="9" t="str">
        <f>'2026 tavasz'!L10</f>
        <v/>
      </c>
      <c r="AO10" s="9" t="str">
        <f>'2026 tavasz'!M10</f>
        <v/>
      </c>
      <c r="AP10" s="9" t="str">
        <f>'2026 tavasz'!N10</f>
        <v/>
      </c>
      <c r="AQ10" s="9" t="str">
        <f>'2026 tavasz'!O10</f>
        <v/>
      </c>
      <c r="AR10" s="9" t="str">
        <f>'2026 tavasz'!P10</f>
        <v/>
      </c>
      <c r="AS10" s="9" t="str">
        <f>'2026 tavasz'!Q10</f>
        <v/>
      </c>
      <c r="AT10" s="9" t="str">
        <f>'2026 tavasz'!R10</f>
        <v/>
      </c>
    </row>
    <row r="11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93.0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91.0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89.0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 t="str">
        <f>'2026 tavasz'!K11</f>
        <v/>
      </c>
      <c r="AN11" s="9" t="str">
        <f>'2026 tavasz'!L11</f>
        <v/>
      </c>
      <c r="AO11" s="9" t="str">
        <f>'2026 tavasz'!M11</f>
        <v/>
      </c>
      <c r="AP11" s="9" t="str">
        <f>'2026 tavasz'!N11</f>
        <v/>
      </c>
      <c r="AQ11" s="9" t="str">
        <f>'2026 tavasz'!O11</f>
        <v/>
      </c>
      <c r="AR11" s="9" t="str">
        <f>'2026 tavasz'!P11</f>
        <v/>
      </c>
      <c r="AS11" s="9" t="str">
        <f>'2026 tavasz'!Q11</f>
        <v/>
      </c>
      <c r="AT11" s="9" t="str">
        <f>'2026 tavasz'!R11</f>
        <v/>
      </c>
    </row>
    <row r="12">
      <c r="B12" s="1" t="s">
        <v>32</v>
      </c>
      <c r="C12" s="9">
        <v>106.0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102.0</v>
      </c>
      <c r="L12" s="9">
        <v>102.6</v>
      </c>
      <c r="M12" s="9">
        <v>103.2</v>
      </c>
      <c r="N12" s="9">
        <v>102.8</v>
      </c>
      <c r="O12" s="9">
        <v>102.3</v>
      </c>
      <c r="P12" s="9">
        <v>103.0</v>
      </c>
      <c r="Q12" s="9">
        <v>103.1</v>
      </c>
      <c r="R12" s="9">
        <v>103.3</v>
      </c>
      <c r="S12" s="9">
        <v>102.0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 t="str">
        <f>'2026 tavasz'!K12</f>
        <v/>
      </c>
      <c r="AN12" s="9" t="str">
        <f>'2026 tavasz'!L12</f>
        <v/>
      </c>
      <c r="AO12" s="9" t="str">
        <f>'2026 tavasz'!M12</f>
        <v/>
      </c>
      <c r="AP12" s="9" t="str">
        <f>'2026 tavasz'!N12</f>
        <v/>
      </c>
      <c r="AQ12" s="9" t="str">
        <f>'2026 tavasz'!O12</f>
        <v/>
      </c>
      <c r="AR12" s="9" t="str">
        <f>'2026 tavasz'!P12</f>
        <v/>
      </c>
      <c r="AS12" s="9" t="str">
        <f>'2026 tavasz'!Q12</f>
        <v/>
      </c>
      <c r="AT12" s="9" t="str">
        <f>'2026 tavasz'!R12</f>
        <v/>
      </c>
    </row>
    <row r="13">
      <c r="B13" s="1" t="s">
        <v>33</v>
      </c>
      <c r="C13" s="9">
        <v>100.0</v>
      </c>
      <c r="D13" s="9">
        <v>100.0</v>
      </c>
      <c r="E13" s="9">
        <v>100.0</v>
      </c>
      <c r="F13" s="9">
        <v>100.0</v>
      </c>
      <c r="G13" s="9">
        <v>100.0</v>
      </c>
      <c r="H13" s="9">
        <v>100.0</v>
      </c>
      <c r="I13" s="9">
        <v>100.0</v>
      </c>
      <c r="J13" s="9">
        <v>100.0</v>
      </c>
      <c r="K13" s="9">
        <v>100.0</v>
      </c>
      <c r="L13" s="9">
        <v>100.0</v>
      </c>
      <c r="M13" s="9">
        <v>100.0</v>
      </c>
      <c r="N13" s="9">
        <v>100.0</v>
      </c>
      <c r="O13" s="9">
        <v>100.0</v>
      </c>
      <c r="P13" s="9">
        <v>100.0</v>
      </c>
      <c r="Q13" s="9">
        <v>100.0</v>
      </c>
      <c r="R13" s="9">
        <v>100.0</v>
      </c>
      <c r="S13" s="9">
        <v>100.0</v>
      </c>
      <c r="T13" s="9">
        <v>100.0</v>
      </c>
      <c r="U13" s="9">
        <v>100.5</v>
      </c>
      <c r="V13" s="9">
        <v>98.7</v>
      </c>
      <c r="W13" s="9">
        <v>98.8</v>
      </c>
      <c r="X13" s="9">
        <v>99.5</v>
      </c>
      <c r="Y13" s="9">
        <v>102.0</v>
      </c>
      <c r="Z13" s="9">
        <v>102.0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 t="str">
        <f>'2026 tavasz'!K13</f>
        <v/>
      </c>
      <c r="AN13" s="9" t="str">
        <f>'2026 tavasz'!L13</f>
        <v/>
      </c>
      <c r="AO13" s="9" t="str">
        <f>'2026 tavasz'!M13</f>
        <v/>
      </c>
      <c r="AP13" s="9" t="str">
        <f>'2026 tavasz'!N13</f>
        <v/>
      </c>
      <c r="AQ13" s="9" t="str">
        <f>'2026 tavasz'!O13</f>
        <v/>
      </c>
      <c r="AR13" s="9" t="str">
        <f>'2026 tavasz'!P13</f>
        <v/>
      </c>
      <c r="AS13" s="9" t="str">
        <f>'2026 tavasz'!Q13</f>
        <v/>
      </c>
      <c r="AT13" s="9" t="str">
        <f>'2026 tavasz'!R13</f>
        <v/>
      </c>
    </row>
    <row r="14">
      <c r="J14" s="9"/>
      <c r="K14" s="9"/>
      <c r="L14" s="9"/>
      <c r="M14" s="9"/>
      <c r="N14" s="9"/>
      <c r="O14" s="9"/>
      <c r="P14" s="9"/>
      <c r="Q14" s="9"/>
      <c r="R14" s="9"/>
    </row>
    <row r="15">
      <c r="J15" s="9"/>
      <c r="K15" s="9"/>
      <c r="L15" s="9"/>
      <c r="M15" s="9"/>
      <c r="N15" s="9"/>
      <c r="O15" s="9"/>
      <c r="P15" s="9"/>
      <c r="Q15" s="9"/>
      <c r="R15" s="9"/>
    </row>
    <row r="16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>
      <c r="C21" s="26"/>
      <c r="F21" s="26"/>
    </row>
    <row r="22">
      <c r="F22" s="26"/>
    </row>
    <row r="23">
      <c r="F23" s="26"/>
    </row>
    <row r="24">
      <c r="F24" s="26"/>
    </row>
    <row r="25">
      <c r="F25" s="26"/>
    </row>
    <row r="26">
      <c r="F26" s="26"/>
    </row>
    <row r="27">
      <c r="F27" s="26"/>
    </row>
    <row r="28">
      <c r="F28" s="26"/>
    </row>
    <row r="32">
      <c r="F32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14.25"/>
    <col customWidth="1" min="6" max="6" width="15.63"/>
    <col customWidth="1" min="8" max="8" width="16.13"/>
  </cols>
  <sheetData>
    <row r="4">
      <c r="C4" s="13" t="str">
        <f>'Éves adatsor'!C4</f>
        <v>7. hét</v>
      </c>
      <c r="D4" s="13" t="str">
        <f>'Éves adatsor'!D4</f>
        <v>8. hét</v>
      </c>
      <c r="E4" s="13" t="str">
        <f>'Éves adatsor'!E4</f>
        <v>9. hét</v>
      </c>
      <c r="F4" s="13" t="str">
        <f>'Éves adatsor'!F4</f>
        <v>10. hét</v>
      </c>
      <c r="G4" s="13" t="str">
        <f>'Éves adatsor'!G4</f>
        <v>11. hét</v>
      </c>
      <c r="H4" s="13" t="str">
        <f>'Éves adatsor'!H4</f>
        <v>12. hét</v>
      </c>
      <c r="I4" s="13" t="str">
        <f>'Éves adatsor'!I4</f>
        <v>13. hét</v>
      </c>
      <c r="J4" s="13" t="str">
        <f>'Éves adatsor'!J4</f>
        <v>14. hét</v>
      </c>
      <c r="K4" s="13" t="str">
        <f>'Éves adatsor'!K4</f>
        <v>15. hét</v>
      </c>
      <c r="L4" s="13" t="str">
        <f>'Éves adatsor'!L4</f>
        <v>16. hét</v>
      </c>
      <c r="M4" s="13" t="str">
        <f>'Éves adatsor'!M4</f>
        <v>17. hét</v>
      </c>
      <c r="N4" s="13" t="str">
        <f>'Éves adatsor'!N4</f>
        <v>18. hét</v>
      </c>
      <c r="O4" s="13" t="str">
        <f>'Éves adatsor'!O4</f>
        <v>19. hét</v>
      </c>
      <c r="P4" s="13" t="str">
        <f>'Éves adatsor'!P4</f>
        <v>20. hét</v>
      </c>
      <c r="Q4" s="13" t="str">
        <f>'Éves adatsor'!Q4</f>
        <v>21. hét</v>
      </c>
      <c r="R4" s="13" t="str">
        <f>'Éves adatsor'!R4</f>
        <v>22. hét</v>
      </c>
      <c r="S4" s="13" t="str">
        <f>'Éves adatsor'!S4</f>
        <v>23. hét</v>
      </c>
      <c r="T4" s="13" t="str">
        <f>'Éves adatsor'!T4</f>
        <v>24. hét</v>
      </c>
      <c r="U4" s="13" t="str">
        <f>'Éves adatsor'!U4</f>
        <v>25 .hét</v>
      </c>
      <c r="V4" s="13" t="str">
        <f>'Éves adatsor'!V4</f>
        <v>26. hét</v>
      </c>
      <c r="W4" s="13" t="str">
        <f>'Éves adatsor'!W4</f>
        <v>27. hét</v>
      </c>
      <c r="X4" s="13" t="str">
        <f>'Éves adatsor'!X4</f>
        <v>28. hét</v>
      </c>
      <c r="Y4" s="13" t="str">
        <f>'Éves adatsor'!Y4</f>
        <v>29. hét</v>
      </c>
      <c r="Z4" s="13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>
      <c r="B5" s="13" t="str">
        <f>'Éves adatsor'!B5</f>
        <v>Barcsik Kristóf</v>
      </c>
      <c r="C5" s="73" t="s">
        <v>99</v>
      </c>
      <c r="D5" s="15" t="str">
        <f>LEFT('Éves adatsor'!D5, LEN('Éves adatsor'!D5) - 3)</f>
        <v>113,0</v>
      </c>
      <c r="E5" s="15" t="str">
        <f>LEFT('Éves adatsor'!E5, LEN('Éves adatsor'!E5) - 3)</f>
        <v>113,3</v>
      </c>
      <c r="F5" s="15" t="str">
        <f>LEFT('Éves adatsor'!F5, LEN('Éves adatsor'!F5) - 3)</f>
        <v>113,8</v>
      </c>
      <c r="G5" s="15" t="str">
        <f>LEFT('Éves adatsor'!G5, LEN('Éves adatsor'!G5) - 3)</f>
        <v>113,3</v>
      </c>
      <c r="H5" s="15" t="str">
        <f>LEFT('Éves adatsor'!H5, LEN('Éves adatsor'!H5) - 3)</f>
        <v>114,0</v>
      </c>
      <c r="I5" s="15" t="str">
        <f>LEFT('Éves adatsor'!I5, LEN('Éves adatsor'!I5) - 3)</f>
        <v>113,6</v>
      </c>
      <c r="J5" s="15" t="str">
        <f>LEFT('Éves adatsor'!J5, LEN('Éves adatsor'!J5) - 3)</f>
        <v>115,2</v>
      </c>
      <c r="K5" s="15" t="str">
        <f>LEFT('Éves adatsor'!K5, LEN('Éves adatsor'!K5) - 3)</f>
        <v>114,3</v>
      </c>
      <c r="L5" s="15" t="str">
        <f>LEFT('Éves adatsor'!L5, LEN('Éves adatsor'!L5) - 3)</f>
        <v>114,6</v>
      </c>
      <c r="M5" s="15" t="str">
        <f>LEFT('Éves adatsor'!M5, LEN('Éves adatsor'!M5) - 3)</f>
        <v>114,0</v>
      </c>
      <c r="N5" s="15" t="str">
        <f>LEFT('Éves adatsor'!N5, LEN('Éves adatsor'!N5) - 3)</f>
        <v>114,7</v>
      </c>
      <c r="O5" s="15" t="str">
        <f>LEFT('Éves adatsor'!O5, LEN('Éves adatsor'!O5) - 3)</f>
        <v>114,8</v>
      </c>
      <c r="P5" s="15" t="str">
        <f>LEFT('Éves adatsor'!P5, LEN('Éves adatsor'!P5) - 3)</f>
        <v>115,6</v>
      </c>
      <c r="Q5" s="15" t="str">
        <f>LEFT('Éves adatsor'!Q5, LEN('Éves adatsor'!Q5) - 3)</f>
        <v>116,6</v>
      </c>
      <c r="R5" s="15" t="str">
        <f>LEFT('Éves adatsor'!R5, LEN('Éves adatsor'!R5) - 3)</f>
        <v>115,1</v>
      </c>
      <c r="S5" s="15" t="str">
        <f>LEFT('Éves adatsor'!S5, LEN('Éves adatsor'!S5) - 3)</f>
        <v>115,2</v>
      </c>
      <c r="T5" s="15" t="str">
        <f>LEFT('Éves adatsor'!T5, LEN('Éves adatsor'!T5) - 3)</f>
        <v>114,8</v>
      </c>
      <c r="U5" s="15" t="str">
        <f>LEFT('Éves adatsor'!U5, LEN('Éves adatsor'!U5) - 3)</f>
        <v>115,8</v>
      </c>
      <c r="V5" s="15" t="str">
        <f>LEFT('Éves adatsor'!V5, LEN('Éves adatsor'!V5) - 3)</f>
        <v>116,7</v>
      </c>
      <c r="W5" s="15" t="str">
        <f>LEFT('Éves adatsor'!W5, LEN('Éves adatsor'!W5) - 3)</f>
        <v>114,9</v>
      </c>
      <c r="X5" s="15" t="str">
        <f>LEFT('Éves adatsor'!X5, LEN('Éves adatsor'!X5) - 3)</f>
        <v>116,6</v>
      </c>
      <c r="Y5" s="15" t="str">
        <f>LEFT('Éves adatsor'!Y5, LEN('Éves adatsor'!Y5) - 3)</f>
        <v>116,6</v>
      </c>
      <c r="Z5" s="15" t="str">
        <f>LEFT('Éves adatsor'!Z5, LEN('Éves adatsor'!Z5) - 3)</f>
        <v>115,2</v>
      </c>
      <c r="AA5" s="15" t="str">
        <f>LEFT('Éves adatsor'!AA5, LEN('Éves adatsor'!AA5) - 3)</f>
        <v>114,8</v>
      </c>
      <c r="AB5" s="15"/>
      <c r="AC5" s="15"/>
      <c r="AD5" s="15"/>
      <c r="AE5" s="15" t="str">
        <f>LEFT('Éves adatsor'!AE5, LEN('Éves adatsor'!AE5) - 3)</f>
        <v>116,1</v>
      </c>
      <c r="AF5" s="15" t="str">
        <f>LEFT('Éves adatsor'!AF5, LEN('Éves adatsor'!AF5) - 3)</f>
        <v>116,1</v>
      </c>
      <c r="AG5" s="15" t="str">
        <f>LEFT('Éves adatsor'!AG5, LEN('Éves adatsor'!AG5) - 3)</f>
        <v>116,1</v>
      </c>
      <c r="AH5" s="15" t="str">
        <f>LEFT('Éves adatsor'!AH5, LEN('Éves adatsor'!AH5) - 3)</f>
        <v>113,4</v>
      </c>
      <c r="AI5" s="15" t="str">
        <f>LEFT('Éves adatsor'!AI5, LEN('Éves adatsor'!AI5) - 3)</f>
        <v>113,6</v>
      </c>
      <c r="AJ5" s="15" t="str">
        <f>LEFT('Éves adatsor'!AJ5, LEN('Éves adatsor'!AJ5) - 3)</f>
        <v>113,0</v>
      </c>
      <c r="AK5" s="15" t="str">
        <f>LEFT('Éves adatsor'!AK5, LEN('Éves adatsor'!AK5) - 3)</f>
        <v>113,5</v>
      </c>
      <c r="AL5" s="15" t="str">
        <f>LEFT('Éves adatsor'!AL5, LEN('Éves adatsor'!AL5) - 3)</f>
        <v>113,5</v>
      </c>
      <c r="AM5" s="15" t="str">
        <f>LEFT('Éves adatsor'!AM5, LEN('Éves adatsor'!AM5) - 3)</f>
        <v>#VALUE!</v>
      </c>
      <c r="AN5" s="15" t="str">
        <f>LEFT('Éves adatsor'!AN5, LEN('Éves adatsor'!AN5) - 3)</f>
        <v>#VALUE!</v>
      </c>
      <c r="AO5" s="15" t="str">
        <f>LEFT('Éves adatsor'!AO5, LEN('Éves adatsor'!AO5) - 3)</f>
        <v>#VALUE!</v>
      </c>
      <c r="AP5" s="15" t="str">
        <f>LEFT('Éves adatsor'!AP5, LEN('Éves adatsor'!AP5) - 3)</f>
        <v>#VALUE!</v>
      </c>
      <c r="AQ5" s="15" t="str">
        <f>LEFT('Éves adatsor'!AQ5, LEN('Éves adatsor'!AQ5) - 3)</f>
        <v>#VALUE!</v>
      </c>
      <c r="AR5" s="15" t="str">
        <f>LEFT('Éves adatsor'!AR5, LEN('Éves adatsor'!AR5) - 3)</f>
        <v>#VALUE!</v>
      </c>
      <c r="AS5" s="15" t="str">
        <f>LEFT('Éves adatsor'!AS5, LEN('Éves adatsor'!AS5) - 3)</f>
        <v>#VALUE!</v>
      </c>
      <c r="AT5" s="15" t="str">
        <f>LEFT('Éves adatsor'!AT5, LEN('Éves adatsor'!AT5) - 3)</f>
        <v>#VALUE!</v>
      </c>
      <c r="AU5" s="15" t="str">
        <f t="shared" ref="AU5:AU13" si="1">AT5-C5</f>
        <v>#VALUE!</v>
      </c>
    </row>
    <row r="6">
      <c r="B6" s="13" t="str">
        <f>'Éves adatsor'!B6</f>
        <v>Galgóczy Ádám</v>
      </c>
      <c r="C6" s="15" t="str">
        <f>LEFT('Éves adatsor'!C6, LEN('Éves adatsor'!C6) - 3)</f>
        <v>107,5</v>
      </c>
      <c r="D6" s="15" t="str">
        <f>LEFT('Éves adatsor'!D6, LEN('Éves adatsor'!D6) - 3)</f>
        <v>106,2</v>
      </c>
      <c r="E6" s="15" t="str">
        <f>LEFT('Éves adatsor'!E6, LEN('Éves adatsor'!E6) - 3)</f>
        <v>105,3</v>
      </c>
      <c r="F6" s="15" t="str">
        <f>LEFT('Éves adatsor'!F6, LEN('Éves adatsor'!F6) - 3)</f>
        <v>106,0</v>
      </c>
      <c r="G6" s="15" t="str">
        <f>LEFT('Éves adatsor'!G6, LEN('Éves adatsor'!G6) - 3)</f>
        <v>106,0</v>
      </c>
      <c r="H6" s="15" t="str">
        <f>LEFT('Éves adatsor'!H6, LEN('Éves adatsor'!H6) - 3)</f>
        <v>106,3</v>
      </c>
      <c r="I6" s="15" t="str">
        <f>LEFT('Éves adatsor'!I6, LEN('Éves adatsor'!I6) - 3)</f>
        <v>103,6</v>
      </c>
      <c r="J6" s="15" t="str">
        <f>LEFT('Éves adatsor'!J6, LEN('Éves adatsor'!J6) - 3)</f>
        <v>102,5</v>
      </c>
      <c r="K6" s="15" t="str">
        <f>LEFT('Éves adatsor'!K6, LEN('Éves adatsor'!K6) - 3)</f>
        <v>102,4</v>
      </c>
      <c r="L6" s="15" t="str">
        <f>LEFT('Éves adatsor'!L6, LEN('Éves adatsor'!L6) - 3)</f>
        <v>102,6</v>
      </c>
      <c r="M6" s="15" t="str">
        <f>LEFT('Éves adatsor'!M6, LEN('Éves adatsor'!M6) - 3)</f>
        <v>103,3</v>
      </c>
      <c r="N6" s="15" t="str">
        <f>LEFT('Éves adatsor'!N6, LEN('Éves adatsor'!N6) - 3)</f>
        <v>103,3</v>
      </c>
      <c r="O6" s="15" t="str">
        <f>LEFT('Éves adatsor'!O6, LEN('Éves adatsor'!O6) - 3)</f>
        <v>103,3</v>
      </c>
      <c r="P6" s="15" t="str">
        <f>LEFT('Éves adatsor'!P6, LEN('Éves adatsor'!P6) - 3)</f>
        <v>102,2</v>
      </c>
      <c r="Q6" s="15" t="str">
        <f>LEFT('Éves adatsor'!Q6, LEN('Éves adatsor'!Q6) - 3)</f>
        <v>103,0</v>
      </c>
      <c r="R6" s="15" t="str">
        <f>LEFT('Éves adatsor'!R6, LEN('Éves adatsor'!R6) - 3)</f>
        <v>103,9</v>
      </c>
      <c r="S6" s="15" t="str">
        <f>LEFT('Éves adatsor'!S6, LEN('Éves adatsor'!S6) - 3)</f>
        <v>99,4</v>
      </c>
      <c r="T6" s="15" t="str">
        <f>LEFT('Éves adatsor'!T6, LEN('Éves adatsor'!T6) - 3)</f>
        <v>100,5</v>
      </c>
      <c r="U6" s="15" t="str">
        <f>LEFT('Éves adatsor'!U6, LEN('Éves adatsor'!U6) - 3)</f>
        <v>102,0</v>
      </c>
      <c r="V6" s="15" t="str">
        <f>LEFT('Éves adatsor'!V6, LEN('Éves adatsor'!V6) - 3)</f>
        <v>101,1</v>
      </c>
      <c r="W6" s="15" t="str">
        <f>LEFT('Éves adatsor'!W6, LEN('Éves adatsor'!W6) - 3)</f>
        <v>101,3</v>
      </c>
      <c r="X6" s="15" t="str">
        <f>LEFT('Éves adatsor'!X6, LEN('Éves adatsor'!X6) - 3)</f>
        <v>102,6</v>
      </c>
      <c r="Y6" s="15" t="str">
        <f>LEFT('Éves adatsor'!Y6, LEN('Éves adatsor'!Y6) - 3)</f>
        <v>101,5</v>
      </c>
      <c r="Z6" s="15" t="str">
        <f>LEFT('Éves adatsor'!Z6, LEN('Éves adatsor'!Z6) - 3)</f>
        <v>102,3</v>
      </c>
      <c r="AA6" s="15" t="str">
        <f>LEFT('Éves adatsor'!AA6, LEN('Éves adatsor'!AA6) - 3)</f>
        <v>102,6</v>
      </c>
      <c r="AB6" s="15"/>
      <c r="AC6" s="15"/>
      <c r="AD6" s="15"/>
      <c r="AE6" s="15" t="str">
        <f>LEFT('Éves adatsor'!AE6, LEN('Éves adatsor'!AE6) - 3)</f>
        <v>101,5</v>
      </c>
      <c r="AF6" s="15" t="str">
        <f>LEFT('Éves adatsor'!AF6, LEN('Éves adatsor'!AF6) - 3)</f>
        <v>101,7</v>
      </c>
      <c r="AG6" s="15" t="str">
        <f>LEFT('Éves adatsor'!AG6, LEN('Éves adatsor'!AG6) - 3)</f>
        <v>100,9</v>
      </c>
      <c r="AH6" s="15" t="str">
        <f>LEFT('Éves adatsor'!AH6, LEN('Éves adatsor'!AH6) - 3)</f>
        <v>101,1</v>
      </c>
      <c r="AI6" s="15" t="str">
        <f>LEFT('Éves adatsor'!AI6, LEN('Éves adatsor'!AI6) - 3)</f>
        <v>101,0</v>
      </c>
      <c r="AJ6" s="15" t="str">
        <f>LEFT('Éves adatsor'!AJ6, LEN('Éves adatsor'!AJ6) - 3)</f>
        <v>102,0</v>
      </c>
      <c r="AK6" s="15" t="str">
        <f>LEFT('Éves adatsor'!AK6, LEN('Éves adatsor'!AK6) - 3)</f>
        <v>101,6</v>
      </c>
      <c r="AL6" s="15" t="str">
        <f>LEFT('Éves adatsor'!AL6, LEN('Éves adatsor'!AL6) - 3)</f>
        <v>102,4</v>
      </c>
      <c r="AM6" s="15" t="str">
        <f>LEFT('Éves adatsor'!AM6, LEN('Éves adatsor'!AM6) - 3)</f>
        <v>#VALUE!</v>
      </c>
      <c r="AN6" s="15" t="str">
        <f>LEFT('Éves adatsor'!AN6, LEN('Éves adatsor'!AN6) - 3)</f>
        <v>#VALUE!</v>
      </c>
      <c r="AO6" s="15" t="str">
        <f>LEFT('Éves adatsor'!AO6, LEN('Éves adatsor'!AO6) - 3)</f>
        <v>#VALUE!</v>
      </c>
      <c r="AP6" s="15" t="str">
        <f>LEFT('Éves adatsor'!AP6, LEN('Éves adatsor'!AP6) - 3)</f>
        <v>#VALUE!</v>
      </c>
      <c r="AQ6" s="15" t="str">
        <f>LEFT('Éves adatsor'!AQ6, LEN('Éves adatsor'!AQ6) - 3)</f>
        <v>#VALUE!</v>
      </c>
      <c r="AR6" s="15" t="str">
        <f>LEFT('Éves adatsor'!AR6, LEN('Éves adatsor'!AR6) - 3)</f>
        <v>#VALUE!</v>
      </c>
      <c r="AS6" s="15" t="str">
        <f>LEFT('Éves adatsor'!AS6, LEN('Éves adatsor'!AS6) - 3)</f>
        <v>#VALUE!</v>
      </c>
      <c r="AT6" s="15" t="str">
        <f>LEFT('Éves adatsor'!AT6, LEN('Éves adatsor'!AT6) - 3)</f>
        <v>#VALUE!</v>
      </c>
      <c r="AU6" s="15" t="str">
        <f t="shared" si="1"/>
        <v>#VALUE!</v>
      </c>
    </row>
    <row r="7">
      <c r="B7" s="13" t="str">
        <f>'Éves adatsor'!B7</f>
        <v>Jávor Tamás</v>
      </c>
      <c r="C7" s="15" t="str">
        <f>LEFT('Éves adatsor'!C7, LEN('Éves adatsor'!C7) - 3)</f>
        <v>117,7</v>
      </c>
      <c r="D7" s="15" t="str">
        <f>LEFT('Éves adatsor'!D7, LEN('Éves adatsor'!D7) - 3)</f>
        <v>117,7</v>
      </c>
      <c r="E7" s="15" t="str">
        <f>LEFT('Éves adatsor'!E7, LEN('Éves adatsor'!E7) - 3)</f>
        <v>117,6</v>
      </c>
      <c r="F7" s="15" t="str">
        <f>LEFT('Éves adatsor'!F7, LEN('Éves adatsor'!F7) - 3)</f>
        <v>118,0</v>
      </c>
      <c r="G7" s="15" t="str">
        <f>LEFT('Éves adatsor'!G7, LEN('Éves adatsor'!G7) - 3)</f>
        <v>118,1</v>
      </c>
      <c r="H7" s="15" t="str">
        <f>LEFT('Éves adatsor'!H7, LEN('Éves adatsor'!H7) - 3)</f>
        <v>117,0</v>
      </c>
      <c r="I7" s="15" t="str">
        <f>LEFT('Éves adatsor'!I7, LEN('Éves adatsor'!I7) - 3)</f>
        <v>116,1</v>
      </c>
      <c r="J7" s="15" t="str">
        <f>LEFT('Éves adatsor'!J7, LEN('Éves adatsor'!J7) - 3)</f>
        <v>116,4</v>
      </c>
      <c r="K7" s="15" t="str">
        <f>LEFT('Éves adatsor'!K7, LEN('Éves adatsor'!K7) - 3)</f>
        <v>115,5</v>
      </c>
      <c r="L7" s="15" t="str">
        <f>LEFT('Éves adatsor'!L7, LEN('Éves adatsor'!L7) - 3)</f>
        <v>115,5</v>
      </c>
      <c r="M7" s="15" t="str">
        <f>LEFT('Éves adatsor'!M7, LEN('Éves adatsor'!M7) - 3)</f>
        <v>115,6</v>
      </c>
      <c r="N7" s="15" t="str">
        <f>LEFT('Éves adatsor'!N7, LEN('Éves adatsor'!N7) - 3)</f>
        <v>115,3</v>
      </c>
      <c r="O7" s="15" t="str">
        <f>LEFT('Éves adatsor'!O7, LEN('Éves adatsor'!O7) - 3)</f>
        <v>114,5</v>
      </c>
      <c r="P7" s="15" t="str">
        <f>LEFT('Éves adatsor'!P7, LEN('Éves adatsor'!P7) - 3)</f>
        <v>114,1</v>
      </c>
      <c r="Q7" s="15" t="str">
        <f>LEFT('Éves adatsor'!Q7, LEN('Éves adatsor'!Q7) - 3)</f>
        <v>114,6</v>
      </c>
      <c r="R7" s="15" t="str">
        <f>LEFT('Éves adatsor'!R7, LEN('Éves adatsor'!R7) - 3)</f>
        <v>114,6</v>
      </c>
      <c r="S7" s="15" t="str">
        <f>LEFT('Éves adatsor'!S7, LEN('Éves adatsor'!S7) - 3)</f>
        <v>113,6</v>
      </c>
      <c r="T7" s="15" t="str">
        <f>LEFT('Éves adatsor'!T7, LEN('Éves adatsor'!T7) - 3)</f>
        <v>112,5</v>
      </c>
      <c r="U7" s="15" t="str">
        <f>LEFT('Éves adatsor'!U7, LEN('Éves adatsor'!U7) - 3)</f>
        <v>112,5</v>
      </c>
      <c r="V7" s="15" t="str">
        <f>LEFT('Éves adatsor'!V7, LEN('Éves adatsor'!V7) - 3)</f>
        <v>112,2</v>
      </c>
      <c r="W7" s="15" t="str">
        <f>LEFT('Éves adatsor'!W7, LEN('Éves adatsor'!W7) - 3)</f>
        <v>112,2</v>
      </c>
      <c r="X7" s="15" t="str">
        <f>LEFT('Éves adatsor'!X7, LEN('Éves adatsor'!X7) - 3)</f>
        <v>111,3</v>
      </c>
      <c r="Y7" s="15" t="str">
        <f>LEFT('Éves adatsor'!Y7, LEN('Éves adatsor'!Y7) - 3)</f>
        <v>111,3</v>
      </c>
      <c r="Z7" s="15" t="str">
        <f>LEFT('Éves adatsor'!Z7, LEN('Éves adatsor'!Z7) - 3)</f>
        <v>110,6</v>
      </c>
      <c r="AA7" s="15" t="str">
        <f>LEFT('Éves adatsor'!AA7, LEN('Éves adatsor'!AA7) - 3)</f>
        <v>110,6</v>
      </c>
      <c r="AB7" s="15"/>
      <c r="AC7" s="15"/>
      <c r="AD7" s="15"/>
      <c r="AE7" s="15" t="str">
        <f>LEFT('Éves adatsor'!AE7, LEN('Éves adatsor'!AE7) - 3)</f>
        <v>116,3</v>
      </c>
      <c r="AF7" s="15" t="str">
        <f>LEFT('Éves adatsor'!AF7, LEN('Éves adatsor'!AF7) - 3)</f>
        <v>116,0</v>
      </c>
      <c r="AG7" s="15" t="str">
        <f>LEFT('Éves adatsor'!AG7, LEN('Éves adatsor'!AG7) - 3)</f>
        <v>114,0</v>
      </c>
      <c r="AH7" s="15" t="str">
        <f>LEFT('Éves adatsor'!AH7, LEN('Éves adatsor'!AH7) - 3)</f>
        <v>114,3</v>
      </c>
      <c r="AI7" s="15" t="str">
        <f>LEFT('Éves adatsor'!AI7, LEN('Éves adatsor'!AI7) - 3)</f>
        <v>112,6</v>
      </c>
      <c r="AJ7" s="15" t="str">
        <f>LEFT('Éves adatsor'!AJ7, LEN('Éves adatsor'!AJ7) - 3)</f>
        <v>113,6</v>
      </c>
      <c r="AK7" s="15" t="str">
        <f>LEFT('Éves adatsor'!AK7, LEN('Éves adatsor'!AK7) - 3)</f>
        <v>112,4</v>
      </c>
      <c r="AL7" s="15" t="str">
        <f>LEFT('Éves adatsor'!AL7, LEN('Éves adatsor'!AL7) - 3)</f>
        <v>112,0</v>
      </c>
      <c r="AM7" s="15" t="str">
        <f>LEFT('Éves adatsor'!AM7, LEN('Éves adatsor'!AM7) - 3)</f>
        <v>#VALUE!</v>
      </c>
      <c r="AN7" s="15" t="str">
        <f>LEFT('Éves adatsor'!AN7, LEN('Éves adatsor'!AN7) - 3)</f>
        <v>#VALUE!</v>
      </c>
      <c r="AO7" s="15" t="str">
        <f>LEFT('Éves adatsor'!AO7, LEN('Éves adatsor'!AO7) - 3)</f>
        <v>#VALUE!</v>
      </c>
      <c r="AP7" s="15" t="str">
        <f>LEFT('Éves adatsor'!AP7, LEN('Éves adatsor'!AP7) - 3)</f>
        <v>#VALUE!</v>
      </c>
      <c r="AQ7" s="15" t="str">
        <f>LEFT('Éves adatsor'!AQ7, LEN('Éves adatsor'!AQ7) - 3)</f>
        <v>#VALUE!</v>
      </c>
      <c r="AR7" s="15" t="str">
        <f>LEFT('Éves adatsor'!AR7, LEN('Éves adatsor'!AR7) - 3)</f>
        <v>#VALUE!</v>
      </c>
      <c r="AS7" s="15" t="str">
        <f>LEFT('Éves adatsor'!AS7, LEN('Éves adatsor'!AS7) - 3)</f>
        <v>#VALUE!</v>
      </c>
      <c r="AT7" s="15" t="str">
        <f>LEFT('Éves adatsor'!AT7, LEN('Éves adatsor'!AT7) - 3)</f>
        <v>#VALUE!</v>
      </c>
      <c r="AU7" s="15" t="str">
        <f t="shared" si="1"/>
        <v>#VALUE!</v>
      </c>
    </row>
    <row r="8">
      <c r="B8" s="13" t="str">
        <f>'Éves adatsor'!B8</f>
        <v>Krekuska Gábor</v>
      </c>
      <c r="C8" s="15" t="str">
        <f>LEFT('Éves adatsor'!C8, LEN('Éves adatsor'!C8) - 3)</f>
        <v>89,0</v>
      </c>
      <c r="D8" s="15" t="str">
        <f>LEFT('Éves adatsor'!D8, LEN('Éves adatsor'!D8) - 3)</f>
        <v>88,4</v>
      </c>
      <c r="E8" s="15" t="str">
        <f>LEFT('Éves adatsor'!E8, LEN('Éves adatsor'!E8) - 3)</f>
        <v>88,1</v>
      </c>
      <c r="F8" s="15" t="str">
        <f>LEFT('Éves adatsor'!F8, LEN('Éves adatsor'!F8) - 3)</f>
        <v>87,0</v>
      </c>
      <c r="G8" s="15" t="str">
        <f>LEFT('Éves adatsor'!G8, LEN('Éves adatsor'!G8) - 3)</f>
        <v>87,7</v>
      </c>
      <c r="H8" s="15" t="str">
        <f>LEFT('Éves adatsor'!H8, LEN('Éves adatsor'!H8) - 3)</f>
        <v>87,5</v>
      </c>
      <c r="I8" s="15" t="str">
        <f>LEFT('Éves adatsor'!I8, LEN('Éves adatsor'!I8) - 3)</f>
        <v>87,4</v>
      </c>
      <c r="J8" s="15" t="str">
        <f>LEFT('Éves adatsor'!J8, LEN('Éves adatsor'!J8) - 3)</f>
        <v>88,5</v>
      </c>
      <c r="K8" s="15" t="str">
        <f>LEFT('Éves adatsor'!K8, LEN('Éves adatsor'!K8) - 3)</f>
        <v>87,2</v>
      </c>
      <c r="L8" s="15" t="str">
        <f>LEFT('Éves adatsor'!L8, LEN('Éves adatsor'!L8) - 3)</f>
        <v>87,8</v>
      </c>
      <c r="M8" s="15" t="str">
        <f>LEFT('Éves adatsor'!M8, LEN('Éves adatsor'!M8) - 3)</f>
        <v>88,2</v>
      </c>
      <c r="N8" s="15" t="str">
        <f>LEFT('Éves adatsor'!N8, LEN('Éves adatsor'!N8) - 3)</f>
        <v>89,7</v>
      </c>
      <c r="O8" s="15" t="str">
        <f>LEFT('Éves adatsor'!O8, LEN('Éves adatsor'!O8) - 3)</f>
        <v>89,9</v>
      </c>
      <c r="P8" s="15" t="str">
        <f>LEFT('Éves adatsor'!P8, LEN('Éves adatsor'!P8) - 3)</f>
        <v>88,0</v>
      </c>
      <c r="Q8" s="15" t="str">
        <f>LEFT('Éves adatsor'!Q8, LEN('Éves adatsor'!Q8) - 3)</f>
        <v>87,6</v>
      </c>
      <c r="R8" s="15" t="str">
        <f>LEFT('Éves adatsor'!R8, LEN('Éves adatsor'!R8) - 3)</f>
        <v>88,1</v>
      </c>
      <c r="S8" s="15" t="str">
        <f>LEFT('Éves adatsor'!S8, LEN('Éves adatsor'!S8) - 3)</f>
        <v>85,6</v>
      </c>
      <c r="T8" s="15" t="str">
        <f>LEFT('Éves adatsor'!T8, LEN('Éves adatsor'!T8) - 3)</f>
        <v>88,0</v>
      </c>
      <c r="U8" s="15" t="str">
        <f>LEFT('Éves adatsor'!U8, LEN('Éves adatsor'!U8) - 3)</f>
        <v>86,8</v>
      </c>
      <c r="V8" s="15" t="str">
        <f>LEFT('Éves adatsor'!V8, LEN('Éves adatsor'!V8) - 3)</f>
        <v>87,8</v>
      </c>
      <c r="W8" s="15" t="str">
        <f>LEFT('Éves adatsor'!W8, LEN('Éves adatsor'!W8) - 3)</f>
        <v>88,1</v>
      </c>
      <c r="X8" s="15" t="str">
        <f>LEFT('Éves adatsor'!X8, LEN('Éves adatsor'!X8) - 3)</f>
        <v>88,2</v>
      </c>
      <c r="Y8" s="15" t="str">
        <f>LEFT('Éves adatsor'!Y8, LEN('Éves adatsor'!Y8) - 3)</f>
        <v>88,2</v>
      </c>
      <c r="Z8" s="15" t="str">
        <f>LEFT('Éves adatsor'!Z8, LEN('Éves adatsor'!Z8) - 3)</f>
        <v>88,5</v>
      </c>
      <c r="AA8" s="15" t="str">
        <f>LEFT('Éves adatsor'!AA8, LEN('Éves adatsor'!AA8) - 3)</f>
        <v>87,8</v>
      </c>
      <c r="AB8" s="15"/>
      <c r="AC8" s="15"/>
      <c r="AD8" s="15"/>
      <c r="AE8" s="15" t="str">
        <f>LEFT('Éves adatsor'!AE8, LEN('Éves adatsor'!AE8) - 3)</f>
        <v>87,7</v>
      </c>
      <c r="AF8" s="15" t="str">
        <f>LEFT('Éves adatsor'!AF8, LEN('Éves adatsor'!AF8) - 3)</f>
        <v>88,0</v>
      </c>
      <c r="AG8" s="15" t="str">
        <f>LEFT('Éves adatsor'!AG8, LEN('Éves adatsor'!AG8) - 3)</f>
        <v>88,0</v>
      </c>
      <c r="AH8" s="15" t="str">
        <f>LEFT('Éves adatsor'!AH8, LEN('Éves adatsor'!AH8) - 3)</f>
        <v>87,7</v>
      </c>
      <c r="AI8" s="15" t="str">
        <f>LEFT('Éves adatsor'!AI8, LEN('Éves adatsor'!AI8) - 3)</f>
        <v>87,7</v>
      </c>
      <c r="AJ8" s="15" t="str">
        <f>LEFT('Éves adatsor'!AJ8, LEN('Éves adatsor'!AJ8) - 3)</f>
        <v>87,2</v>
      </c>
      <c r="AK8" s="15" t="str">
        <f>LEFT('Éves adatsor'!AK8, LEN('Éves adatsor'!AK8) - 3)</f>
        <v>88,0</v>
      </c>
      <c r="AL8" s="15" t="str">
        <f>LEFT('Éves adatsor'!AL8, LEN('Éves adatsor'!AL8) - 3)</f>
        <v>87,3</v>
      </c>
      <c r="AM8" s="15" t="str">
        <f>LEFT('Éves adatsor'!AM8, LEN('Éves adatsor'!AM8) - 3)</f>
        <v>#VALUE!</v>
      </c>
      <c r="AN8" s="15" t="str">
        <f>LEFT('Éves adatsor'!AN8, LEN('Éves adatsor'!AN8) - 3)</f>
        <v>#VALUE!</v>
      </c>
      <c r="AO8" s="15" t="str">
        <f>LEFT('Éves adatsor'!AO8, LEN('Éves adatsor'!AO8) - 3)</f>
        <v>#VALUE!</v>
      </c>
      <c r="AP8" s="15" t="str">
        <f>LEFT('Éves adatsor'!AP8, LEN('Éves adatsor'!AP8) - 3)</f>
        <v>#VALUE!</v>
      </c>
      <c r="AQ8" s="15" t="str">
        <f>LEFT('Éves adatsor'!AQ8, LEN('Éves adatsor'!AQ8) - 3)</f>
        <v>#VALUE!</v>
      </c>
      <c r="AR8" s="15" t="str">
        <f>LEFT('Éves adatsor'!AR8, LEN('Éves adatsor'!AR8) - 3)</f>
        <v>#VALUE!</v>
      </c>
      <c r="AS8" s="15" t="str">
        <f>LEFT('Éves adatsor'!AS8, LEN('Éves adatsor'!AS8) - 3)</f>
        <v>#VALUE!</v>
      </c>
      <c r="AT8" s="15" t="str">
        <f>LEFT('Éves adatsor'!AT8, LEN('Éves adatsor'!AT8) - 3)</f>
        <v>#VALUE!</v>
      </c>
      <c r="AU8" s="15" t="str">
        <f t="shared" si="1"/>
        <v>#VALUE!</v>
      </c>
    </row>
    <row r="9">
      <c r="B9" s="13" t="str">
        <f>'Éves adatsor'!B9</f>
        <v>Molnár György</v>
      </c>
      <c r="C9" s="15" t="str">
        <f>LEFT('Éves adatsor'!C9, LEN('Éves adatsor'!C9) - 3)</f>
        <v>94,3</v>
      </c>
      <c r="D9" s="15" t="str">
        <f>LEFT('Éves adatsor'!D9, LEN('Éves adatsor'!D9) - 3)</f>
        <v>92,5</v>
      </c>
      <c r="E9" s="15" t="str">
        <f>LEFT('Éves adatsor'!E9, LEN('Éves adatsor'!E9) - 3)</f>
        <v>92,5</v>
      </c>
      <c r="F9" s="15" t="str">
        <f>LEFT('Éves adatsor'!F9, LEN('Éves adatsor'!F9) - 3)</f>
        <v>91,7</v>
      </c>
      <c r="G9" s="15" t="str">
        <f>LEFT('Éves adatsor'!G9, LEN('Éves adatsor'!G9) - 3)</f>
        <v>92,3</v>
      </c>
      <c r="H9" s="15" t="str">
        <f>LEFT('Éves adatsor'!H9, LEN('Éves adatsor'!H9) - 3)</f>
        <v>92,1</v>
      </c>
      <c r="I9" s="15" t="str">
        <f>LEFT('Éves adatsor'!I9, LEN('Éves adatsor'!I9) - 3)</f>
        <v>93,0</v>
      </c>
      <c r="J9" s="15" t="str">
        <f>LEFT('Éves adatsor'!J9, LEN('Éves adatsor'!J9) - 3)</f>
        <v>93,0</v>
      </c>
      <c r="K9" s="15" t="str">
        <f>LEFT('Éves adatsor'!K9, LEN('Éves adatsor'!K9) - 3)</f>
        <v>93,0</v>
      </c>
      <c r="L9" s="15" t="str">
        <f>LEFT('Éves adatsor'!L9, LEN('Éves adatsor'!L9) - 3)</f>
        <v>92,8</v>
      </c>
      <c r="M9" s="15" t="str">
        <f>LEFT('Éves adatsor'!M9, LEN('Éves adatsor'!M9) - 3)</f>
        <v>93,4</v>
      </c>
      <c r="N9" s="15" t="str">
        <f>LEFT('Éves adatsor'!N9, LEN('Éves adatsor'!N9) - 3)</f>
        <v>93,2</v>
      </c>
      <c r="O9" s="15" t="str">
        <f>LEFT('Éves adatsor'!O9, LEN('Éves adatsor'!O9) - 3)</f>
        <v>93,9</v>
      </c>
      <c r="P9" s="15" t="str">
        <f>LEFT('Éves adatsor'!P9, LEN('Éves adatsor'!P9) - 3)</f>
        <v>91,7</v>
      </c>
      <c r="Q9" s="15" t="str">
        <f>LEFT('Éves adatsor'!Q9, LEN('Éves adatsor'!Q9) - 3)</f>
        <v>93,0</v>
      </c>
      <c r="R9" s="15" t="str">
        <f>LEFT('Éves adatsor'!R9, LEN('Éves adatsor'!R9) - 3)</f>
        <v>93,7</v>
      </c>
      <c r="S9" s="15" t="str">
        <f>LEFT('Éves adatsor'!S9, LEN('Éves adatsor'!S9) - 3)</f>
        <v>90,6</v>
      </c>
      <c r="T9" s="15" t="str">
        <f>LEFT('Éves adatsor'!T9, LEN('Éves adatsor'!T9) - 3)</f>
        <v>91,7</v>
      </c>
      <c r="U9" s="15" t="str">
        <f>LEFT('Éves adatsor'!U9, LEN('Éves adatsor'!U9) - 3)</f>
        <v>92,4</v>
      </c>
      <c r="V9" s="15" t="str">
        <f>LEFT('Éves adatsor'!V9, LEN('Éves adatsor'!V9) - 3)</f>
        <v>92,5</v>
      </c>
      <c r="W9" s="15" t="str">
        <f>LEFT('Éves adatsor'!W9, LEN('Éves adatsor'!W9) - 3)</f>
        <v>91,4</v>
      </c>
      <c r="X9" s="15" t="str">
        <f>LEFT('Éves adatsor'!X9, LEN('Éves adatsor'!X9) - 3)</f>
        <v>91,2</v>
      </c>
      <c r="Y9" s="15" t="str">
        <f>LEFT('Éves adatsor'!Y9, LEN('Éves adatsor'!Y9) - 3)</f>
        <v>91,6</v>
      </c>
      <c r="Z9" s="15" t="str">
        <f>LEFT('Éves adatsor'!Z9, LEN('Éves adatsor'!Z9) - 3)</f>
        <v>90,6</v>
      </c>
      <c r="AA9" s="15" t="str">
        <f>LEFT('Éves adatsor'!AA9, LEN('Éves adatsor'!AA9) - 3)</f>
        <v>89,8</v>
      </c>
      <c r="AB9" s="15"/>
      <c r="AC9" s="15"/>
      <c r="AD9" s="15"/>
      <c r="AE9" s="15" t="str">
        <f>LEFT('Éves adatsor'!AE9, LEN('Éves adatsor'!AE9) - 3)</f>
        <v>88,3</v>
      </c>
      <c r="AF9" s="15" t="str">
        <f>LEFT('Éves adatsor'!AF9, LEN('Éves adatsor'!AF9) - 3)</f>
        <v>87,2</v>
      </c>
      <c r="AG9" s="15" t="str">
        <f>LEFT('Éves adatsor'!AG9, LEN('Éves adatsor'!AG9) - 3)</f>
        <v>86,1</v>
      </c>
      <c r="AH9" s="15" t="str">
        <f>LEFT('Éves adatsor'!AH9, LEN('Éves adatsor'!AH9) - 3)</f>
        <v>85,6</v>
      </c>
      <c r="AI9" s="15" t="str">
        <f>LEFT('Éves adatsor'!AI9, LEN('Éves adatsor'!AI9) - 3)</f>
        <v>84,7</v>
      </c>
      <c r="AJ9" s="15" t="str">
        <f>LEFT('Éves adatsor'!AJ9, LEN('Éves adatsor'!AJ9) - 3)</f>
        <v>83,8</v>
      </c>
      <c r="AK9" s="15" t="str">
        <f>LEFT('Éves adatsor'!AK9, LEN('Éves adatsor'!AK9) - 3)</f>
        <v>85,0</v>
      </c>
      <c r="AL9" s="15" t="str">
        <f>LEFT('Éves adatsor'!AL9, LEN('Éves adatsor'!AL9) - 3)</f>
        <v>83,8</v>
      </c>
      <c r="AM9" s="15" t="str">
        <f>LEFT('Éves adatsor'!AM9, LEN('Éves adatsor'!AM9) - 3)</f>
        <v>#VALUE!</v>
      </c>
      <c r="AN9" s="15" t="str">
        <f>LEFT('Éves adatsor'!AN9, LEN('Éves adatsor'!AN9) - 3)</f>
        <v>#VALUE!</v>
      </c>
      <c r="AO9" s="15" t="str">
        <f>LEFT('Éves adatsor'!AO9, LEN('Éves adatsor'!AO9) - 3)</f>
        <v>#VALUE!</v>
      </c>
      <c r="AP9" s="15" t="str">
        <f>LEFT('Éves adatsor'!AP9, LEN('Éves adatsor'!AP9) - 3)</f>
        <v>#VALUE!</v>
      </c>
      <c r="AQ9" s="15" t="str">
        <f>LEFT('Éves adatsor'!AQ9, LEN('Éves adatsor'!AQ9) - 3)</f>
        <v>#VALUE!</v>
      </c>
      <c r="AR9" s="15" t="str">
        <f>LEFT('Éves adatsor'!AR9, LEN('Éves adatsor'!AR9) - 3)</f>
        <v>#VALUE!</v>
      </c>
      <c r="AS9" s="15" t="str">
        <f>LEFT('Éves adatsor'!AS9, LEN('Éves adatsor'!AS9) - 3)</f>
        <v>#VALUE!</v>
      </c>
      <c r="AT9" s="15" t="str">
        <f>LEFT('Éves adatsor'!AT9, LEN('Éves adatsor'!AT9) - 3)</f>
        <v>#VALUE!</v>
      </c>
      <c r="AU9" s="15" t="str">
        <f t="shared" si="1"/>
        <v>#VALUE!</v>
      </c>
    </row>
    <row r="10">
      <c r="B10" s="13" t="str">
        <f>'Éves adatsor'!B10</f>
        <v>Varga Szabolcs</v>
      </c>
      <c r="C10" s="15" t="str">
        <f>LEFT('Éves adatsor'!C10, LEN('Éves adatsor'!C10) - 3)</f>
        <v>98,7</v>
      </c>
      <c r="D10" s="15" t="str">
        <f>LEFT('Éves adatsor'!D10, LEN('Éves adatsor'!D10) - 3)</f>
        <v>98,3</v>
      </c>
      <c r="E10" s="15" t="str">
        <f>LEFT('Éves adatsor'!E10, LEN('Éves adatsor'!E10) - 3)</f>
        <v>98,1</v>
      </c>
      <c r="F10" s="15" t="str">
        <f>LEFT('Éves adatsor'!F10, LEN('Éves adatsor'!F10) - 3)</f>
        <v>98,0</v>
      </c>
      <c r="G10" s="15" t="str">
        <f>LEFT('Éves adatsor'!G10, LEN('Éves adatsor'!G10) - 3)</f>
        <v>98,1</v>
      </c>
      <c r="H10" s="15" t="str">
        <f>LEFT('Éves adatsor'!H10, LEN('Éves adatsor'!H10) - 3)</f>
        <v>97,9</v>
      </c>
      <c r="I10" s="15" t="str">
        <f>LEFT('Éves adatsor'!I10, LEN('Éves adatsor'!I10) - 3)</f>
        <v>97,7</v>
      </c>
      <c r="J10" s="15" t="str">
        <f>LEFT('Éves adatsor'!J10, LEN('Éves adatsor'!J10) - 3)</f>
        <v>97,2</v>
      </c>
      <c r="K10" s="15" t="str">
        <f>LEFT('Éves adatsor'!K10, LEN('Éves adatsor'!K10) - 3)</f>
        <v>97,9</v>
      </c>
      <c r="L10" s="15" t="str">
        <f>LEFT('Éves adatsor'!L10, LEN('Éves adatsor'!L10) - 3)</f>
        <v>98,0</v>
      </c>
      <c r="M10" s="15" t="str">
        <f>LEFT('Éves adatsor'!M10, LEN('Éves adatsor'!M10) - 3)</f>
        <v>98,7</v>
      </c>
      <c r="N10" s="15" t="str">
        <f>LEFT('Éves adatsor'!N10, LEN('Éves adatsor'!N10) - 3)</f>
        <v>98,0</v>
      </c>
      <c r="O10" s="15" t="str">
        <f>LEFT('Éves adatsor'!O10, LEN('Éves adatsor'!O10) - 3)</f>
        <v>98,1</v>
      </c>
      <c r="P10" s="15" t="str">
        <f>LEFT('Éves adatsor'!P10, LEN('Éves adatsor'!P10) - 3)</f>
        <v>97,8</v>
      </c>
      <c r="Q10" s="15" t="str">
        <f>LEFT('Éves adatsor'!Q10, LEN('Éves adatsor'!Q10) - 3)</f>
        <v>97,7</v>
      </c>
      <c r="R10" s="15" t="str">
        <f>LEFT('Éves adatsor'!R10, LEN('Éves adatsor'!R10) - 3)</f>
        <v>96,6</v>
      </c>
      <c r="S10" s="15" t="str">
        <f>LEFT('Éves adatsor'!S10, LEN('Éves adatsor'!S10) - 3)</f>
        <v>96,2</v>
      </c>
      <c r="T10" s="15" t="str">
        <f>LEFT('Éves adatsor'!T10, LEN('Éves adatsor'!T10) - 3)</f>
        <v>98,4</v>
      </c>
      <c r="U10" s="15" t="str">
        <f>LEFT('Éves adatsor'!U10, LEN('Éves adatsor'!U10) - 3)</f>
        <v>99,0</v>
      </c>
      <c r="V10" s="15" t="str">
        <f>LEFT('Éves adatsor'!V10, LEN('Éves adatsor'!V10) - 3)</f>
        <v>98,2</v>
      </c>
      <c r="W10" s="15" t="str">
        <f>LEFT('Éves adatsor'!W10, LEN('Éves adatsor'!W10) - 3)</f>
        <v>99,0</v>
      </c>
      <c r="X10" s="15" t="str">
        <f>LEFT('Éves adatsor'!X10, LEN('Éves adatsor'!X10) - 3)</f>
        <v>97,9</v>
      </c>
      <c r="Y10" s="15" t="str">
        <f>LEFT('Éves adatsor'!Y10, LEN('Éves adatsor'!Y10) - 3)</f>
        <v>99,3</v>
      </c>
      <c r="Z10" s="15" t="str">
        <f>LEFT('Éves adatsor'!Z10, LEN('Éves adatsor'!Z10) - 3)</f>
        <v>100,0</v>
      </c>
      <c r="AA10" s="15" t="str">
        <f>LEFT('Éves adatsor'!AA10, LEN('Éves adatsor'!AA10) - 3)</f>
        <v>100,8</v>
      </c>
      <c r="AB10" s="15"/>
      <c r="AC10" s="15"/>
      <c r="AD10" s="15"/>
      <c r="AE10" s="15" t="str">
        <f>LEFT('Éves adatsor'!AE10, LEN('Éves adatsor'!AE10) - 3)</f>
        <v>105,3</v>
      </c>
      <c r="AF10" s="15" t="str">
        <f>LEFT('Éves adatsor'!AF10, LEN('Éves adatsor'!AF10) - 3)</f>
        <v>104,0</v>
      </c>
      <c r="AG10" s="15" t="str">
        <f>LEFT('Éves adatsor'!AG10, LEN('Éves adatsor'!AG10) - 3)</f>
        <v>104,0</v>
      </c>
      <c r="AH10" s="15" t="str">
        <f>LEFT('Éves adatsor'!AH10, LEN('Éves adatsor'!AH10) - 3)</f>
        <v>102,6</v>
      </c>
      <c r="AI10" s="15" t="str">
        <f>LEFT('Éves adatsor'!AI10, LEN('Éves adatsor'!AI10) - 3)</f>
        <v>101,9</v>
      </c>
      <c r="AJ10" s="15" t="str">
        <f>LEFT('Éves adatsor'!AJ10, LEN('Éves adatsor'!AJ10) - 3)</f>
        <v>102,3</v>
      </c>
      <c r="AK10" s="15" t="str">
        <f>LEFT('Éves adatsor'!AK10, LEN('Éves adatsor'!AK10) - 3)</f>
        <v>102,3</v>
      </c>
      <c r="AL10" s="15" t="str">
        <f>LEFT('Éves adatsor'!AL10, LEN('Éves adatsor'!AL10) - 3)</f>
        <v>101,3</v>
      </c>
      <c r="AM10" s="15" t="str">
        <f>LEFT('Éves adatsor'!AM10, LEN('Éves adatsor'!AM10) - 3)</f>
        <v>#VALUE!</v>
      </c>
      <c r="AN10" s="15" t="str">
        <f>LEFT('Éves adatsor'!AN10, LEN('Éves adatsor'!AN10) - 3)</f>
        <v>#VALUE!</v>
      </c>
      <c r="AO10" s="15" t="str">
        <f>LEFT('Éves adatsor'!AO10, LEN('Éves adatsor'!AO10) - 3)</f>
        <v>#VALUE!</v>
      </c>
      <c r="AP10" s="15" t="str">
        <f>LEFT('Éves adatsor'!AP10, LEN('Éves adatsor'!AP10) - 3)</f>
        <v>#VALUE!</v>
      </c>
      <c r="AQ10" s="15" t="str">
        <f>LEFT('Éves adatsor'!AQ10, LEN('Éves adatsor'!AQ10) - 3)</f>
        <v>#VALUE!</v>
      </c>
      <c r="AR10" s="15" t="str">
        <f>LEFT('Éves adatsor'!AR10, LEN('Éves adatsor'!AR10) - 3)</f>
        <v>#VALUE!</v>
      </c>
      <c r="AS10" s="15" t="str">
        <f>LEFT('Éves adatsor'!AS10, LEN('Éves adatsor'!AS10) - 3)</f>
        <v>#VALUE!</v>
      </c>
      <c r="AT10" s="15" t="str">
        <f>LEFT('Éves adatsor'!AT10, LEN('Éves adatsor'!AT10) - 3)</f>
        <v>#VALUE!</v>
      </c>
      <c r="AU10" s="15" t="str">
        <f t="shared" si="1"/>
        <v>#VALUE!</v>
      </c>
    </row>
    <row r="11">
      <c r="B11" s="13" t="str">
        <f>'Éves adatsor'!B11</f>
        <v>Vaspál Gergő</v>
      </c>
      <c r="C11" s="15" t="str">
        <f>LEFT('Éves adatsor'!C11, LEN('Éves adatsor'!C11) - 3)</f>
        <v>89,3</v>
      </c>
      <c r="D11" s="15" t="str">
        <f>LEFT('Éves adatsor'!D11, LEN('Éves adatsor'!D11) - 3)</f>
        <v>91,2</v>
      </c>
      <c r="E11" s="15" t="str">
        <f>LEFT('Éves adatsor'!E11, LEN('Éves adatsor'!E11) - 3)</f>
        <v>92,1</v>
      </c>
      <c r="F11" s="15" t="str">
        <f>LEFT('Éves adatsor'!F11, LEN('Éves adatsor'!F11) - 3)</f>
        <v>92,3</v>
      </c>
      <c r="G11" s="15" t="str">
        <f>LEFT('Éves adatsor'!G11, LEN('Éves adatsor'!G11) - 3)</f>
        <v>91,5</v>
      </c>
      <c r="H11" s="15" t="str">
        <f>LEFT('Éves adatsor'!H11, LEN('Éves adatsor'!H11) - 3)</f>
        <v>91,6</v>
      </c>
      <c r="I11" s="15" t="str">
        <f>LEFT('Éves adatsor'!I11, LEN('Éves adatsor'!I11) - 3)</f>
        <v>93,4</v>
      </c>
      <c r="J11" s="15" t="str">
        <f>LEFT('Éves adatsor'!J11, LEN('Éves adatsor'!J11) - 3)</f>
        <v>93,1</v>
      </c>
      <c r="K11" s="15" t="str">
        <f>LEFT('Éves adatsor'!K11, LEN('Éves adatsor'!K11) - 3)</f>
        <v>92,1</v>
      </c>
      <c r="L11" s="15" t="str">
        <f>LEFT('Éves adatsor'!L11, LEN('Éves adatsor'!L11) - 3)</f>
        <v>93,4</v>
      </c>
      <c r="M11" s="15" t="str">
        <f>LEFT('Éves adatsor'!M11, LEN('Éves adatsor'!M11) - 3)</f>
        <v>93,0</v>
      </c>
      <c r="N11" s="15" t="str">
        <f>LEFT('Éves adatsor'!N11, LEN('Éves adatsor'!N11) - 3)</f>
        <v>93,8</v>
      </c>
      <c r="O11" s="15" t="str">
        <f>LEFT('Éves adatsor'!O11, LEN('Éves adatsor'!O11) - 3)</f>
        <v>92,9</v>
      </c>
      <c r="P11" s="15" t="str">
        <f>LEFT('Éves adatsor'!P11, LEN('Éves adatsor'!P11) - 3)</f>
        <v>92,9</v>
      </c>
      <c r="Q11" s="15" t="str">
        <f>LEFT('Éves adatsor'!Q11, LEN('Éves adatsor'!Q11) - 3)</f>
        <v>93,7</v>
      </c>
      <c r="R11" s="15" t="str">
        <f>LEFT('Éves adatsor'!R11, LEN('Éves adatsor'!R11) - 3)</f>
        <v>91,9</v>
      </c>
      <c r="S11" s="15" t="str">
        <f>LEFT('Éves adatsor'!S11, LEN('Éves adatsor'!S11) - 3)</f>
        <v>92,8</v>
      </c>
      <c r="T11" s="15" t="str">
        <f>LEFT('Éves adatsor'!T11, LEN('Éves adatsor'!T11) - 3)</f>
        <v>91,0</v>
      </c>
      <c r="U11" s="15" t="str">
        <f>LEFT('Éves adatsor'!U11, LEN('Éves adatsor'!U11) - 3)</f>
        <v>88,9</v>
      </c>
      <c r="V11" s="15" t="str">
        <f>LEFT('Éves adatsor'!V11, LEN('Éves adatsor'!V11) - 3)</f>
        <v>89,9</v>
      </c>
      <c r="W11" s="15" t="str">
        <f>LEFT('Éves adatsor'!W11, LEN('Éves adatsor'!W11) - 3)</f>
        <v>89,1</v>
      </c>
      <c r="X11" s="15" t="str">
        <f>LEFT('Éves adatsor'!X11, LEN('Éves adatsor'!X11) - 3)</f>
        <v>89,2</v>
      </c>
      <c r="Y11" s="15" t="str">
        <f>LEFT('Éves adatsor'!Y11, LEN('Éves adatsor'!Y11) - 3)</f>
        <v>89,2</v>
      </c>
      <c r="Z11" s="15" t="str">
        <f>LEFT('Éves adatsor'!Z11, LEN('Éves adatsor'!Z11) - 3)</f>
        <v>89,0</v>
      </c>
      <c r="AA11" s="15" t="str">
        <f>LEFT('Éves adatsor'!AA11, LEN('Éves adatsor'!AA11) - 3)</f>
        <v>90,2</v>
      </c>
      <c r="AB11" s="15"/>
      <c r="AC11" s="15"/>
      <c r="AD11" s="15"/>
      <c r="AE11" s="15" t="str">
        <f>LEFT('Éves adatsor'!AE11, LEN('Éves adatsor'!AE11) - 3)</f>
        <v>92,3</v>
      </c>
      <c r="AF11" s="15" t="str">
        <f>LEFT('Éves adatsor'!AF11, LEN('Éves adatsor'!AF11) - 3)</f>
        <v>92,2</v>
      </c>
      <c r="AG11" s="15" t="str">
        <f>LEFT('Éves adatsor'!AG11, LEN('Éves adatsor'!AG11) - 3)</f>
        <v>91,8</v>
      </c>
      <c r="AH11" s="15" t="str">
        <f>LEFT('Éves adatsor'!AH11, LEN('Éves adatsor'!AH11) - 3)</f>
        <v>92,9</v>
      </c>
      <c r="AI11" s="15" t="str">
        <f>LEFT('Éves adatsor'!AI11, LEN('Éves adatsor'!AI11) - 3)</f>
        <v>93,3</v>
      </c>
      <c r="AJ11" s="15" t="str">
        <f>LEFT('Éves adatsor'!AJ11, LEN('Éves adatsor'!AJ11) - 3)</f>
        <v>91,9</v>
      </c>
      <c r="AK11" s="15" t="str">
        <f>LEFT('Éves adatsor'!AK11, LEN('Éves adatsor'!AK11) - 3)</f>
        <v>92,5</v>
      </c>
      <c r="AL11" s="15" t="str">
        <f>LEFT('Éves adatsor'!AL11, LEN('Éves adatsor'!AL11) - 3)</f>
        <v>92,5</v>
      </c>
      <c r="AM11" s="15" t="str">
        <f>LEFT('Éves adatsor'!AM11, LEN('Éves adatsor'!AM11) - 3)</f>
        <v>#VALUE!</v>
      </c>
      <c r="AN11" s="15" t="str">
        <f>LEFT('Éves adatsor'!AN11, LEN('Éves adatsor'!AN11) - 3)</f>
        <v>#VALUE!</v>
      </c>
      <c r="AO11" s="15" t="str">
        <f>LEFT('Éves adatsor'!AO11, LEN('Éves adatsor'!AO11) - 3)</f>
        <v>#VALUE!</v>
      </c>
      <c r="AP11" s="15" t="str">
        <f>LEFT('Éves adatsor'!AP11, LEN('Éves adatsor'!AP11) - 3)</f>
        <v>#VALUE!</v>
      </c>
      <c r="AQ11" s="15" t="str">
        <f>LEFT('Éves adatsor'!AQ11, LEN('Éves adatsor'!AQ11) - 3)</f>
        <v>#VALUE!</v>
      </c>
      <c r="AR11" s="15" t="str">
        <f>LEFT('Éves adatsor'!AR11, LEN('Éves adatsor'!AR11) - 3)</f>
        <v>#VALUE!</v>
      </c>
      <c r="AS11" s="15" t="str">
        <f>LEFT('Éves adatsor'!AS11, LEN('Éves adatsor'!AS11) - 3)</f>
        <v>#VALUE!</v>
      </c>
      <c r="AT11" s="15" t="str">
        <f>LEFT('Éves adatsor'!AT11, LEN('Éves adatsor'!AT11) - 3)</f>
        <v>#VALUE!</v>
      </c>
      <c r="AU11" s="15" t="str">
        <f t="shared" si="1"/>
        <v>#VALUE!</v>
      </c>
    </row>
    <row r="12">
      <c r="B12" s="13" t="str">
        <f>'Éves adatsor'!B12</f>
        <v>Várnoki Ádám</v>
      </c>
      <c r="C12" s="15" t="str">
        <f>LEFT('Éves adatsor'!C12, LEN('Éves adatsor'!C12) - 3)</f>
        <v>106,0</v>
      </c>
      <c r="D12" s="15" t="str">
        <f>LEFT('Éves adatsor'!D12, LEN('Éves adatsor'!D12) - 3)</f>
        <v>105,9</v>
      </c>
      <c r="E12" s="15" t="str">
        <f>LEFT('Éves adatsor'!E12, LEN('Éves adatsor'!E12) - 3)</f>
        <v>105,7</v>
      </c>
      <c r="F12" s="15" t="str">
        <f>LEFT('Éves adatsor'!F12, LEN('Éves adatsor'!F12) - 3)</f>
        <v>104,8</v>
      </c>
      <c r="G12" s="15" t="str">
        <f>LEFT('Éves adatsor'!G12, LEN('Éves adatsor'!G12) - 3)</f>
        <v>103,2</v>
      </c>
      <c r="H12" s="15" t="str">
        <f>LEFT('Éves adatsor'!H12, LEN('Éves adatsor'!H12) - 3)</f>
        <v>103,2</v>
      </c>
      <c r="I12" s="15" t="str">
        <f>LEFT('Éves adatsor'!I12, LEN('Éves adatsor'!I12) - 3)</f>
        <v>103,3</v>
      </c>
      <c r="J12" s="15" t="str">
        <f>LEFT('Éves adatsor'!J12, LEN('Éves adatsor'!J12) - 3)</f>
        <v>102,9</v>
      </c>
      <c r="K12" s="15" t="str">
        <f>LEFT('Éves adatsor'!K12, LEN('Éves adatsor'!K12) - 3)</f>
        <v>102,0</v>
      </c>
      <c r="L12" s="15" t="str">
        <f>LEFT('Éves adatsor'!L12, LEN('Éves adatsor'!L12) - 3)</f>
        <v>102,6</v>
      </c>
      <c r="M12" s="15" t="str">
        <f>LEFT('Éves adatsor'!M12, LEN('Éves adatsor'!M12) - 3)</f>
        <v>103,2</v>
      </c>
      <c r="N12" s="15" t="str">
        <f>LEFT('Éves adatsor'!N12, LEN('Éves adatsor'!N12) - 3)</f>
        <v>102,8</v>
      </c>
      <c r="O12" s="15" t="str">
        <f>LEFT('Éves adatsor'!O12, LEN('Éves adatsor'!O12) - 3)</f>
        <v>102,3</v>
      </c>
      <c r="P12" s="15" t="str">
        <f>LEFT('Éves adatsor'!P12, LEN('Éves adatsor'!P12) - 3)</f>
        <v>103,0</v>
      </c>
      <c r="Q12" s="15" t="str">
        <f>LEFT('Éves adatsor'!Q12, LEN('Éves adatsor'!Q12) - 3)</f>
        <v>103,1</v>
      </c>
      <c r="R12" s="15" t="str">
        <f>LEFT('Éves adatsor'!R12, LEN('Éves adatsor'!R12) - 3)</f>
        <v>103,3</v>
      </c>
      <c r="S12" s="15" t="str">
        <f>LEFT('Éves adatsor'!S12, LEN('Éves adatsor'!S12) - 3)</f>
        <v>102,0</v>
      </c>
      <c r="T12" s="15" t="str">
        <f>LEFT('Éves adatsor'!T12, LEN('Éves adatsor'!T12) - 3)</f>
        <v>103,3</v>
      </c>
      <c r="U12" s="15" t="str">
        <f>LEFT('Éves adatsor'!U12, LEN('Éves adatsor'!U12) - 3)</f>
        <v>103,8</v>
      </c>
      <c r="V12" s="15" t="str">
        <f>LEFT('Éves adatsor'!V12, LEN('Éves adatsor'!V12) - 3)</f>
        <v>103,5</v>
      </c>
      <c r="W12" s="15" t="str">
        <f>LEFT('Éves adatsor'!W12, LEN('Éves adatsor'!W12) - 3)</f>
        <v>103,5</v>
      </c>
      <c r="X12" s="15" t="str">
        <f>LEFT('Éves adatsor'!X12, LEN('Éves adatsor'!X12) - 3)</f>
        <v>103,5</v>
      </c>
      <c r="Y12" s="15" t="str">
        <f>LEFT('Éves adatsor'!Y12, LEN('Éves adatsor'!Y12) - 3)</f>
        <v>103,6</v>
      </c>
      <c r="Z12" s="15" t="str">
        <f>LEFT('Éves adatsor'!Z12, LEN('Éves adatsor'!Z12) - 3)</f>
        <v>103,8</v>
      </c>
      <c r="AA12" s="15" t="str">
        <f>LEFT('Éves adatsor'!AA12, LEN('Éves adatsor'!AA12) - 3)</f>
        <v>103,6</v>
      </c>
      <c r="AB12" s="15"/>
      <c r="AC12" s="15"/>
      <c r="AD12" s="15"/>
      <c r="AE12" s="15" t="str">
        <f>LEFT('Éves adatsor'!AE12, LEN('Éves adatsor'!AE12) - 3)</f>
        <v>108,4</v>
      </c>
      <c r="AF12" s="15" t="str">
        <f>LEFT('Éves adatsor'!AF12, LEN('Éves adatsor'!AF12) - 3)</f>
        <v>107,0</v>
      </c>
      <c r="AG12" s="15" t="str">
        <f>LEFT('Éves adatsor'!AG12, LEN('Éves adatsor'!AG12) - 3)</f>
        <v>107,4</v>
      </c>
      <c r="AH12" s="15" t="str">
        <f>LEFT('Éves adatsor'!AH12, LEN('Éves adatsor'!AH12) - 3)</f>
        <v>106,5</v>
      </c>
      <c r="AI12" s="15" t="str">
        <f>LEFT('Éves adatsor'!AI12, LEN('Éves adatsor'!AI12) - 3)</f>
        <v>104,0</v>
      </c>
      <c r="AJ12" s="15" t="str">
        <f>LEFT('Éves adatsor'!AJ12, LEN('Éves adatsor'!AJ12) - 3)</f>
        <v>102,9</v>
      </c>
      <c r="AK12" s="15" t="str">
        <f>LEFT('Éves adatsor'!AK12, LEN('Éves adatsor'!AK12) - 3)</f>
        <v>103,0</v>
      </c>
      <c r="AL12" s="15" t="str">
        <f>LEFT('Éves adatsor'!AL12, LEN('Éves adatsor'!AL12) - 3)</f>
        <v>101,9</v>
      </c>
      <c r="AM12" s="15" t="str">
        <f>LEFT('Éves adatsor'!AM12, LEN('Éves adatsor'!AM12) - 3)</f>
        <v>#VALUE!</v>
      </c>
      <c r="AN12" s="15" t="str">
        <f>LEFT('Éves adatsor'!AN12, LEN('Éves adatsor'!AN12) - 3)</f>
        <v>#VALUE!</v>
      </c>
      <c r="AO12" s="15" t="str">
        <f>LEFT('Éves adatsor'!AO12, LEN('Éves adatsor'!AO12) - 3)</f>
        <v>#VALUE!</v>
      </c>
      <c r="AP12" s="15" t="str">
        <f>LEFT('Éves adatsor'!AP12, LEN('Éves adatsor'!AP12) - 3)</f>
        <v>#VALUE!</v>
      </c>
      <c r="AQ12" s="15" t="str">
        <f>LEFT('Éves adatsor'!AQ12, LEN('Éves adatsor'!AQ12) - 3)</f>
        <v>#VALUE!</v>
      </c>
      <c r="AR12" s="15" t="str">
        <f>LEFT('Éves adatsor'!AR12, LEN('Éves adatsor'!AR12) - 3)</f>
        <v>#VALUE!</v>
      </c>
      <c r="AS12" s="15" t="str">
        <f>LEFT('Éves adatsor'!AS12, LEN('Éves adatsor'!AS12) - 3)</f>
        <v>#VALUE!</v>
      </c>
      <c r="AT12" s="15" t="str">
        <f>LEFT('Éves adatsor'!AT12, LEN('Éves adatsor'!AT12) - 3)</f>
        <v>#VALUE!</v>
      </c>
      <c r="AU12" s="15" t="str">
        <f t="shared" si="1"/>
        <v>#VALUE!</v>
      </c>
    </row>
    <row r="13">
      <c r="B13" s="13" t="str">
        <f>'Éves adatsor'!B13</f>
        <v>Szikora István</v>
      </c>
      <c r="C13" s="15" t="str">
        <f>LEFT('Éves adatsor'!C13, LEN('Éves adatsor'!C13) - 3)</f>
        <v>100,0</v>
      </c>
      <c r="D13" s="15" t="str">
        <f>LEFT('Éves adatsor'!D13, LEN('Éves adatsor'!D13) - 3)</f>
        <v>100,0</v>
      </c>
      <c r="E13" s="15" t="str">
        <f>LEFT('Éves adatsor'!E13, LEN('Éves adatsor'!E13) - 3)</f>
        <v>100,0</v>
      </c>
      <c r="F13" s="15" t="str">
        <f>LEFT('Éves adatsor'!F13, LEN('Éves adatsor'!F13) - 3)</f>
        <v>100,0</v>
      </c>
      <c r="G13" s="15" t="str">
        <f>LEFT('Éves adatsor'!G13, LEN('Éves adatsor'!G13) - 3)</f>
        <v>100,0</v>
      </c>
      <c r="H13" s="15" t="str">
        <f>LEFT('Éves adatsor'!H13, LEN('Éves adatsor'!H13) - 3)</f>
        <v>100,0</v>
      </c>
      <c r="I13" s="15" t="str">
        <f>LEFT('Éves adatsor'!I13, LEN('Éves adatsor'!I13) - 3)</f>
        <v>100,0</v>
      </c>
      <c r="J13" s="15" t="str">
        <f>LEFT('Éves adatsor'!J13, LEN('Éves adatsor'!J13) - 3)</f>
        <v>100,0</v>
      </c>
      <c r="K13" s="15" t="str">
        <f>LEFT('Éves adatsor'!K13, LEN('Éves adatsor'!K13) - 3)</f>
        <v>100,0</v>
      </c>
      <c r="L13" s="15" t="str">
        <f>LEFT('Éves adatsor'!L13, LEN('Éves adatsor'!L13) - 3)</f>
        <v>100,0</v>
      </c>
      <c r="M13" s="15" t="str">
        <f>LEFT('Éves adatsor'!M13, LEN('Éves adatsor'!M13) - 3)</f>
        <v>100,0</v>
      </c>
      <c r="N13" s="15" t="str">
        <f>LEFT('Éves adatsor'!N13, LEN('Éves adatsor'!N13) - 3)</f>
        <v>100,0</v>
      </c>
      <c r="O13" s="15" t="str">
        <f>LEFT('Éves adatsor'!O13, LEN('Éves adatsor'!O13) - 3)</f>
        <v>100,0</v>
      </c>
      <c r="P13" s="15" t="str">
        <f>LEFT('Éves adatsor'!P13, LEN('Éves adatsor'!P13) - 3)</f>
        <v>100,0</v>
      </c>
      <c r="Q13" s="15" t="str">
        <f>LEFT('Éves adatsor'!Q13, LEN('Éves adatsor'!Q13) - 3)</f>
        <v>100,0</v>
      </c>
      <c r="R13" s="15" t="str">
        <f>LEFT('Éves adatsor'!R13, LEN('Éves adatsor'!R13) - 3)</f>
        <v>100,0</v>
      </c>
      <c r="S13" s="15" t="str">
        <f>LEFT('Éves adatsor'!S13, LEN('Éves adatsor'!S13) - 3)</f>
        <v>100,0</v>
      </c>
      <c r="T13" s="15" t="str">
        <f>LEFT('Éves adatsor'!T13, LEN('Éves adatsor'!T13) - 3)</f>
        <v>100,0</v>
      </c>
      <c r="U13" s="15" t="str">
        <f>LEFT('Éves adatsor'!U13, LEN('Éves adatsor'!U13) - 3)</f>
        <v>100,5</v>
      </c>
      <c r="V13" s="15" t="str">
        <f>LEFT('Éves adatsor'!V13, LEN('Éves adatsor'!V13) - 3)</f>
        <v>98,7</v>
      </c>
      <c r="W13" s="15" t="str">
        <f>LEFT('Éves adatsor'!W13, LEN('Éves adatsor'!W13) - 3)</f>
        <v>98,8</v>
      </c>
      <c r="X13" s="15" t="str">
        <f>LEFT('Éves adatsor'!X13, LEN('Éves adatsor'!X13) - 3)</f>
        <v>99,5</v>
      </c>
      <c r="Y13" s="15" t="str">
        <f>LEFT('Éves adatsor'!Y13, LEN('Éves adatsor'!Y13) - 3)</f>
        <v>102,0</v>
      </c>
      <c r="Z13" s="15" t="str">
        <f>LEFT('Éves adatsor'!Z13, LEN('Éves adatsor'!Z13) - 3)</f>
        <v>102,0</v>
      </c>
      <c r="AA13" s="15" t="str">
        <f>LEFT('Éves adatsor'!AA13, LEN('Éves adatsor'!AA13) - 3)</f>
        <v>100,8</v>
      </c>
      <c r="AB13" s="15"/>
      <c r="AC13" s="15"/>
      <c r="AD13" s="15"/>
      <c r="AE13" s="15" t="str">
        <f>LEFT('Éves adatsor'!AE13, LEN('Éves adatsor'!AE13) - 3)</f>
        <v>102,1</v>
      </c>
      <c r="AF13" s="15" t="str">
        <f>LEFT('Éves adatsor'!AF13, LEN('Éves adatsor'!AF13) - 3)</f>
        <v>102,2</v>
      </c>
      <c r="AG13" s="15" t="str">
        <f>LEFT('Éves adatsor'!AG13, LEN('Éves adatsor'!AG13) - 3)</f>
        <v>102,8</v>
      </c>
      <c r="AH13" s="15" t="str">
        <f>LEFT('Éves adatsor'!AH13, LEN('Éves adatsor'!AH13) - 3)</f>
        <v>101,7</v>
      </c>
      <c r="AI13" s="15" t="str">
        <f>LEFT('Éves adatsor'!AI13, LEN('Éves adatsor'!AI13) - 3)</f>
        <v>101,0</v>
      </c>
      <c r="AJ13" s="15" t="str">
        <f>LEFT('Éves adatsor'!AJ13, LEN('Éves adatsor'!AJ13) - 3)</f>
        <v>100,3</v>
      </c>
      <c r="AK13" s="15" t="str">
        <f>LEFT('Éves adatsor'!AK13, LEN('Éves adatsor'!AK13) - 3)</f>
        <v>99,9</v>
      </c>
      <c r="AL13" s="15" t="str">
        <f>LEFT('Éves adatsor'!AL13, LEN('Éves adatsor'!AL13) - 3)</f>
        <v>99,4</v>
      </c>
      <c r="AM13" s="15" t="str">
        <f>LEFT('Éves adatsor'!AM13, LEN('Éves adatsor'!AM13) - 3)</f>
        <v>#VALUE!</v>
      </c>
      <c r="AN13" s="15" t="str">
        <f>LEFT('Éves adatsor'!AN13, LEN('Éves adatsor'!AN13) - 3)</f>
        <v>#VALUE!</v>
      </c>
      <c r="AO13" s="15" t="str">
        <f>LEFT('Éves adatsor'!AO13, LEN('Éves adatsor'!AO13) - 3)</f>
        <v>#VALUE!</v>
      </c>
      <c r="AP13" s="15" t="str">
        <f>LEFT('Éves adatsor'!AP13, LEN('Éves adatsor'!AP13) - 3)</f>
        <v>#VALUE!</v>
      </c>
      <c r="AQ13" s="15" t="str">
        <f>LEFT('Éves adatsor'!AQ13, LEN('Éves adatsor'!AQ13) - 3)</f>
        <v>#VALUE!</v>
      </c>
      <c r="AR13" s="15" t="str">
        <f>LEFT('Éves adatsor'!AR13, LEN('Éves adatsor'!AR13) - 3)</f>
        <v>#VALUE!</v>
      </c>
      <c r="AS13" s="15" t="str">
        <f>LEFT('Éves adatsor'!AS13, LEN('Éves adatsor'!AS13) - 3)</f>
        <v>#VALUE!</v>
      </c>
      <c r="AT13" s="15" t="str">
        <f>LEFT('Éves adatsor'!AT13, LEN('Éves adatsor'!AT13) - 3)</f>
        <v>#VALUE!</v>
      </c>
      <c r="AU13" s="15" t="str">
        <f t="shared" si="1"/>
        <v>#VALUE!</v>
      </c>
    </row>
    <row r="14">
      <c r="B14" s="13" t="str">
        <f>'Éves adatsor'!B14</f>
        <v/>
      </c>
    </row>
    <row r="17">
      <c r="C17" s="13" t="str">
        <f t="shared" ref="C17:Z17" si="2">C4</f>
        <v>7. hét</v>
      </c>
      <c r="D17" s="13" t="str">
        <f t="shared" si="2"/>
        <v>8. hét</v>
      </c>
      <c r="E17" s="13" t="str">
        <f t="shared" si="2"/>
        <v>9. hét</v>
      </c>
      <c r="F17" s="13" t="str">
        <f t="shared" si="2"/>
        <v>10. hét</v>
      </c>
      <c r="G17" s="13" t="str">
        <f t="shared" si="2"/>
        <v>11. hét</v>
      </c>
      <c r="H17" s="13" t="str">
        <f t="shared" si="2"/>
        <v>12. hét</v>
      </c>
      <c r="I17" s="13" t="str">
        <f t="shared" si="2"/>
        <v>13. hét</v>
      </c>
      <c r="J17" s="13" t="str">
        <f t="shared" si="2"/>
        <v>14. hét</v>
      </c>
      <c r="K17" s="13" t="str">
        <f t="shared" si="2"/>
        <v>15. hét</v>
      </c>
      <c r="L17" s="13" t="str">
        <f t="shared" si="2"/>
        <v>16. hét</v>
      </c>
      <c r="M17" s="13" t="str">
        <f t="shared" si="2"/>
        <v>17. hét</v>
      </c>
      <c r="N17" s="13" t="str">
        <f t="shared" si="2"/>
        <v>18. hét</v>
      </c>
      <c r="O17" s="13" t="str">
        <f t="shared" si="2"/>
        <v>19. hét</v>
      </c>
      <c r="P17" s="13" t="str">
        <f t="shared" si="2"/>
        <v>20. hét</v>
      </c>
      <c r="Q17" s="13" t="str">
        <f t="shared" si="2"/>
        <v>21. hét</v>
      </c>
      <c r="R17" s="13" t="str">
        <f t="shared" si="2"/>
        <v>22. hét</v>
      </c>
      <c r="S17" s="13" t="str">
        <f t="shared" si="2"/>
        <v>23. hét</v>
      </c>
      <c r="T17" s="13" t="str">
        <f t="shared" si="2"/>
        <v>24. hét</v>
      </c>
      <c r="U17" s="13" t="str">
        <f t="shared" si="2"/>
        <v>25 .hét</v>
      </c>
      <c r="V17" s="13" t="str">
        <f t="shared" si="2"/>
        <v>26. hét</v>
      </c>
      <c r="W17" s="13" t="str">
        <f t="shared" si="2"/>
        <v>27. hét</v>
      </c>
      <c r="X17" s="13" t="str">
        <f t="shared" si="2"/>
        <v>28. hét</v>
      </c>
      <c r="Y17" s="13" t="str">
        <f t="shared" si="2"/>
        <v>29. hét</v>
      </c>
      <c r="Z17" s="13" t="str">
        <f t="shared" si="2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>
      <c r="B18" s="13" t="s">
        <v>25</v>
      </c>
      <c r="C18" s="16">
        <v>0.0</v>
      </c>
      <c r="D18" s="12" t="str">
        <f t="shared" ref="D18:AA18" si="3">(D5-$C5)/$C5</f>
        <v>#VALUE!</v>
      </c>
      <c r="E18" s="12" t="str">
        <f t="shared" si="3"/>
        <v>#VALUE!</v>
      </c>
      <c r="F18" s="12" t="str">
        <f t="shared" si="3"/>
        <v>#VALUE!</v>
      </c>
      <c r="G18" s="12" t="str">
        <f t="shared" si="3"/>
        <v>#VALUE!</v>
      </c>
      <c r="H18" s="12" t="str">
        <f t="shared" si="3"/>
        <v>#VALUE!</v>
      </c>
      <c r="I18" s="12" t="str">
        <f t="shared" si="3"/>
        <v>#VALUE!</v>
      </c>
      <c r="J18" s="12" t="str">
        <f t="shared" si="3"/>
        <v>#VALUE!</v>
      </c>
      <c r="K18" s="12" t="str">
        <f t="shared" si="3"/>
        <v>#VALUE!</v>
      </c>
      <c r="L18" s="12" t="str">
        <f t="shared" si="3"/>
        <v>#VALUE!</v>
      </c>
      <c r="M18" s="12" t="str">
        <f t="shared" si="3"/>
        <v>#VALUE!</v>
      </c>
      <c r="N18" s="12" t="str">
        <f t="shared" si="3"/>
        <v>#VALUE!</v>
      </c>
      <c r="O18" s="12" t="str">
        <f t="shared" si="3"/>
        <v>#VALUE!</v>
      </c>
      <c r="P18" s="12" t="str">
        <f t="shared" si="3"/>
        <v>#VALUE!</v>
      </c>
      <c r="Q18" s="12" t="str">
        <f t="shared" si="3"/>
        <v>#VALUE!</v>
      </c>
      <c r="R18" s="12" t="str">
        <f t="shared" si="3"/>
        <v>#VALUE!</v>
      </c>
      <c r="S18" s="12" t="str">
        <f t="shared" si="3"/>
        <v>#VALUE!</v>
      </c>
      <c r="T18" s="12" t="str">
        <f t="shared" si="3"/>
        <v>#VALUE!</v>
      </c>
      <c r="U18" s="12" t="str">
        <f t="shared" si="3"/>
        <v>#VALUE!</v>
      </c>
      <c r="V18" s="12" t="str">
        <f t="shared" si="3"/>
        <v>#VALUE!</v>
      </c>
      <c r="W18" s="12" t="str">
        <f t="shared" si="3"/>
        <v>#VALUE!</v>
      </c>
      <c r="X18" s="12" t="str">
        <f t="shared" si="3"/>
        <v>#VALUE!</v>
      </c>
      <c r="Y18" s="12" t="str">
        <f t="shared" si="3"/>
        <v>#VALUE!</v>
      </c>
      <c r="Z18" s="12" t="str">
        <f t="shared" si="3"/>
        <v>#VALUE!</v>
      </c>
      <c r="AA18" s="12" t="str">
        <f t="shared" si="3"/>
        <v>#VALUE!</v>
      </c>
      <c r="AB18" s="12"/>
      <c r="AC18" s="12"/>
      <c r="AD18" s="12"/>
      <c r="AE18" s="12" t="str">
        <f t="shared" ref="AE18:AT18" si="4">(AE5-$C5)/$C5</f>
        <v>#VALUE!</v>
      </c>
      <c r="AF18" s="12" t="str">
        <f t="shared" si="4"/>
        <v>#VALUE!</v>
      </c>
      <c r="AG18" s="12" t="str">
        <f t="shared" si="4"/>
        <v>#VALUE!</v>
      </c>
      <c r="AH18" s="12" t="str">
        <f t="shared" si="4"/>
        <v>#VALUE!</v>
      </c>
      <c r="AI18" s="12" t="str">
        <f t="shared" si="4"/>
        <v>#VALUE!</v>
      </c>
      <c r="AJ18" s="12" t="str">
        <f t="shared" si="4"/>
        <v>#VALUE!</v>
      </c>
      <c r="AK18" s="12" t="str">
        <f t="shared" si="4"/>
        <v>#VALUE!</v>
      </c>
      <c r="AL18" s="12" t="str">
        <f t="shared" si="4"/>
        <v>#VALUE!</v>
      </c>
      <c r="AM18" s="12" t="str">
        <f t="shared" si="4"/>
        <v>#VALUE!</v>
      </c>
      <c r="AN18" s="12" t="str">
        <f t="shared" si="4"/>
        <v>#VALUE!</v>
      </c>
      <c r="AO18" s="12" t="str">
        <f t="shared" si="4"/>
        <v>#VALUE!</v>
      </c>
      <c r="AP18" s="12" t="str">
        <f t="shared" si="4"/>
        <v>#VALUE!</v>
      </c>
      <c r="AQ18" s="12" t="str">
        <f t="shared" si="4"/>
        <v>#VALUE!</v>
      </c>
      <c r="AR18" s="12" t="str">
        <f t="shared" si="4"/>
        <v>#VALUE!</v>
      </c>
      <c r="AS18" s="12" t="str">
        <f t="shared" si="4"/>
        <v>#VALUE!</v>
      </c>
      <c r="AT18" s="12" t="str">
        <f t="shared" si="4"/>
        <v>#VALUE!</v>
      </c>
      <c r="AU18" s="12"/>
    </row>
    <row r="19">
      <c r="B19" s="13" t="s">
        <v>26</v>
      </c>
      <c r="C19" s="16">
        <v>0.0</v>
      </c>
      <c r="D19" s="12">
        <f t="shared" ref="D19:AA19" si="5">(D6-$C6)/$C6</f>
        <v>-0.01209302326</v>
      </c>
      <c r="E19" s="12">
        <f t="shared" si="5"/>
        <v>-0.02046511628</v>
      </c>
      <c r="F19" s="12">
        <f t="shared" si="5"/>
        <v>-0.01395348837</v>
      </c>
      <c r="G19" s="12">
        <f t="shared" si="5"/>
        <v>-0.01395348837</v>
      </c>
      <c r="H19" s="12">
        <f t="shared" si="5"/>
        <v>-0.0111627907</v>
      </c>
      <c r="I19" s="12">
        <f t="shared" si="5"/>
        <v>-0.03627906977</v>
      </c>
      <c r="J19" s="12">
        <f t="shared" si="5"/>
        <v>-0.04651162791</v>
      </c>
      <c r="K19" s="12">
        <f t="shared" si="5"/>
        <v>-0.04744186047</v>
      </c>
      <c r="L19" s="12">
        <f t="shared" si="5"/>
        <v>-0.04558139535</v>
      </c>
      <c r="M19" s="12">
        <f t="shared" si="5"/>
        <v>-0.03906976744</v>
      </c>
      <c r="N19" s="12">
        <f t="shared" si="5"/>
        <v>-0.03906976744</v>
      </c>
      <c r="O19" s="12">
        <f t="shared" si="5"/>
        <v>-0.03906976744</v>
      </c>
      <c r="P19" s="12">
        <f t="shared" si="5"/>
        <v>-0.04930232558</v>
      </c>
      <c r="Q19" s="12">
        <f t="shared" si="5"/>
        <v>-0.04186046512</v>
      </c>
      <c r="R19" s="12">
        <f t="shared" si="5"/>
        <v>-0.03348837209</v>
      </c>
      <c r="S19" s="12">
        <f t="shared" si="5"/>
        <v>-0.07534883721</v>
      </c>
      <c r="T19" s="12">
        <f t="shared" si="5"/>
        <v>-0.06511627907</v>
      </c>
      <c r="U19" s="12">
        <f t="shared" si="5"/>
        <v>-0.0511627907</v>
      </c>
      <c r="V19" s="12">
        <f t="shared" si="5"/>
        <v>-0.05953488372</v>
      </c>
      <c r="W19" s="12">
        <f t="shared" si="5"/>
        <v>-0.0576744186</v>
      </c>
      <c r="X19" s="12">
        <f t="shared" si="5"/>
        <v>-0.04558139535</v>
      </c>
      <c r="Y19" s="12">
        <f t="shared" si="5"/>
        <v>-0.05581395349</v>
      </c>
      <c r="Z19" s="12">
        <f t="shared" si="5"/>
        <v>-0.04837209302</v>
      </c>
      <c r="AA19" s="12">
        <f t="shared" si="5"/>
        <v>-0.04558139535</v>
      </c>
      <c r="AB19" s="12"/>
      <c r="AC19" s="12"/>
      <c r="AD19" s="12"/>
      <c r="AE19" s="12">
        <f t="shared" ref="AE19:AT19" si="6">(AE6-$C6)/$C6</f>
        <v>-0.05581395349</v>
      </c>
      <c r="AF19" s="12">
        <f t="shared" si="6"/>
        <v>-0.05395348837</v>
      </c>
      <c r="AG19" s="12">
        <f t="shared" si="6"/>
        <v>-0.06139534884</v>
      </c>
      <c r="AH19" s="12">
        <f t="shared" si="6"/>
        <v>-0.05953488372</v>
      </c>
      <c r="AI19" s="12">
        <f t="shared" si="6"/>
        <v>-0.06046511628</v>
      </c>
      <c r="AJ19" s="12">
        <f t="shared" si="6"/>
        <v>-0.0511627907</v>
      </c>
      <c r="AK19" s="12">
        <f t="shared" si="6"/>
        <v>-0.05488372093</v>
      </c>
      <c r="AL19" s="12">
        <f t="shared" si="6"/>
        <v>-0.04744186047</v>
      </c>
      <c r="AM19" s="12" t="str">
        <f t="shared" si="6"/>
        <v>#VALUE!</v>
      </c>
      <c r="AN19" s="12" t="str">
        <f t="shared" si="6"/>
        <v>#VALUE!</v>
      </c>
      <c r="AO19" s="12" t="str">
        <f t="shared" si="6"/>
        <v>#VALUE!</v>
      </c>
      <c r="AP19" s="12" t="str">
        <f t="shared" si="6"/>
        <v>#VALUE!</v>
      </c>
      <c r="AQ19" s="12" t="str">
        <f t="shared" si="6"/>
        <v>#VALUE!</v>
      </c>
      <c r="AR19" s="12" t="str">
        <f t="shared" si="6"/>
        <v>#VALUE!</v>
      </c>
      <c r="AS19" s="12" t="str">
        <f t="shared" si="6"/>
        <v>#VALUE!</v>
      </c>
      <c r="AT19" s="12" t="str">
        <f t="shared" si="6"/>
        <v>#VALUE!</v>
      </c>
      <c r="AU19" s="12"/>
    </row>
    <row r="20">
      <c r="B20" s="13" t="s">
        <v>27</v>
      </c>
      <c r="C20" s="16">
        <v>0.0</v>
      </c>
      <c r="D20" s="12">
        <f t="shared" ref="D20:AA20" si="7">(D7-$C7)/$C7</f>
        <v>0</v>
      </c>
      <c r="E20" s="12">
        <f t="shared" si="7"/>
        <v>-0.000849617672</v>
      </c>
      <c r="F20" s="12">
        <f t="shared" si="7"/>
        <v>0.002548853016</v>
      </c>
      <c r="G20" s="12">
        <f t="shared" si="7"/>
        <v>0.003398470688</v>
      </c>
      <c r="H20" s="12">
        <f t="shared" si="7"/>
        <v>-0.005947323704</v>
      </c>
      <c r="I20" s="12">
        <f t="shared" si="7"/>
        <v>-0.01359388275</v>
      </c>
      <c r="J20" s="12">
        <f t="shared" si="7"/>
        <v>-0.01104502974</v>
      </c>
      <c r="K20" s="12">
        <f t="shared" si="7"/>
        <v>-0.01869158879</v>
      </c>
      <c r="L20" s="12">
        <f t="shared" si="7"/>
        <v>-0.01869158879</v>
      </c>
      <c r="M20" s="12">
        <f t="shared" si="7"/>
        <v>-0.01784197111</v>
      </c>
      <c r="N20" s="12">
        <f t="shared" si="7"/>
        <v>-0.02039082413</v>
      </c>
      <c r="O20" s="12">
        <f t="shared" si="7"/>
        <v>-0.02718776551</v>
      </c>
      <c r="P20" s="12">
        <f t="shared" si="7"/>
        <v>-0.03058623619</v>
      </c>
      <c r="Q20" s="12">
        <f t="shared" si="7"/>
        <v>-0.02633814783</v>
      </c>
      <c r="R20" s="12">
        <f t="shared" si="7"/>
        <v>-0.02633814783</v>
      </c>
      <c r="S20" s="12">
        <f t="shared" si="7"/>
        <v>-0.03483432455</v>
      </c>
      <c r="T20" s="12">
        <f t="shared" si="7"/>
        <v>-0.04418011895</v>
      </c>
      <c r="U20" s="12">
        <f t="shared" si="7"/>
        <v>-0.04418011895</v>
      </c>
      <c r="V20" s="12">
        <f t="shared" si="7"/>
        <v>-0.04672897196</v>
      </c>
      <c r="W20" s="12">
        <f t="shared" si="7"/>
        <v>-0.04672897196</v>
      </c>
      <c r="X20" s="12">
        <f t="shared" si="7"/>
        <v>-0.05437553101</v>
      </c>
      <c r="Y20" s="12">
        <f t="shared" si="7"/>
        <v>-0.05437553101</v>
      </c>
      <c r="Z20" s="12">
        <f t="shared" si="7"/>
        <v>-0.06032285472</v>
      </c>
      <c r="AA20" s="12">
        <f t="shared" si="7"/>
        <v>-0.06032285472</v>
      </c>
      <c r="AB20" s="12"/>
      <c r="AC20" s="12"/>
      <c r="AD20" s="12"/>
      <c r="AE20" s="12">
        <f t="shared" ref="AE20:AT20" si="8">(AE7-$C7)/$C7</f>
        <v>-0.01189464741</v>
      </c>
      <c r="AF20" s="12">
        <f t="shared" si="8"/>
        <v>-0.01444350042</v>
      </c>
      <c r="AG20" s="12">
        <f t="shared" si="8"/>
        <v>-0.03143585387</v>
      </c>
      <c r="AH20" s="12">
        <f t="shared" si="8"/>
        <v>-0.02888700085</v>
      </c>
      <c r="AI20" s="12">
        <f t="shared" si="8"/>
        <v>-0.04333050127</v>
      </c>
      <c r="AJ20" s="12">
        <f t="shared" si="8"/>
        <v>-0.03483432455</v>
      </c>
      <c r="AK20" s="12">
        <f t="shared" si="8"/>
        <v>-0.04502973662</v>
      </c>
      <c r="AL20" s="12">
        <f t="shared" si="8"/>
        <v>-0.04842820731</v>
      </c>
      <c r="AM20" s="12" t="str">
        <f t="shared" si="8"/>
        <v>#VALUE!</v>
      </c>
      <c r="AN20" s="12" t="str">
        <f t="shared" si="8"/>
        <v>#VALUE!</v>
      </c>
      <c r="AO20" s="12" t="str">
        <f t="shared" si="8"/>
        <v>#VALUE!</v>
      </c>
      <c r="AP20" s="12" t="str">
        <f t="shared" si="8"/>
        <v>#VALUE!</v>
      </c>
      <c r="AQ20" s="12" t="str">
        <f t="shared" si="8"/>
        <v>#VALUE!</v>
      </c>
      <c r="AR20" s="12" t="str">
        <f t="shared" si="8"/>
        <v>#VALUE!</v>
      </c>
      <c r="AS20" s="12" t="str">
        <f t="shared" si="8"/>
        <v>#VALUE!</v>
      </c>
      <c r="AT20" s="12" t="str">
        <f t="shared" si="8"/>
        <v>#VALUE!</v>
      </c>
      <c r="AU20" s="12"/>
    </row>
    <row r="21">
      <c r="B21" s="13" t="s">
        <v>28</v>
      </c>
      <c r="C21" s="16">
        <v>0.0</v>
      </c>
      <c r="D21" s="12">
        <f t="shared" ref="D21:AA21" si="9">(D8-$C8)/$C8</f>
        <v>-0.006741573034</v>
      </c>
      <c r="E21" s="12">
        <f t="shared" si="9"/>
        <v>-0.01011235955</v>
      </c>
      <c r="F21" s="12">
        <f t="shared" si="9"/>
        <v>-0.02247191011</v>
      </c>
      <c r="G21" s="12">
        <f t="shared" si="9"/>
        <v>-0.01460674157</v>
      </c>
      <c r="H21" s="12">
        <f t="shared" si="9"/>
        <v>-0.01685393258</v>
      </c>
      <c r="I21" s="12">
        <f t="shared" si="9"/>
        <v>-0.01797752809</v>
      </c>
      <c r="J21" s="12">
        <f t="shared" si="9"/>
        <v>-0.005617977528</v>
      </c>
      <c r="K21" s="12">
        <f t="shared" si="9"/>
        <v>-0.0202247191</v>
      </c>
      <c r="L21" s="12">
        <f t="shared" si="9"/>
        <v>-0.01348314607</v>
      </c>
      <c r="M21" s="12">
        <f t="shared" si="9"/>
        <v>-0.008988764045</v>
      </c>
      <c r="N21" s="12">
        <f t="shared" si="9"/>
        <v>0.007865168539</v>
      </c>
      <c r="O21" s="12">
        <f t="shared" si="9"/>
        <v>0.01011235955</v>
      </c>
      <c r="P21" s="12">
        <f t="shared" si="9"/>
        <v>-0.01123595506</v>
      </c>
      <c r="Q21" s="12">
        <f t="shared" si="9"/>
        <v>-0.01573033708</v>
      </c>
      <c r="R21" s="12">
        <f t="shared" si="9"/>
        <v>-0.01011235955</v>
      </c>
      <c r="S21" s="12">
        <f t="shared" si="9"/>
        <v>-0.03820224719</v>
      </c>
      <c r="T21" s="12">
        <f t="shared" si="9"/>
        <v>-0.01123595506</v>
      </c>
      <c r="U21" s="12">
        <f t="shared" si="9"/>
        <v>-0.02471910112</v>
      </c>
      <c r="V21" s="12">
        <f t="shared" si="9"/>
        <v>-0.01348314607</v>
      </c>
      <c r="W21" s="12">
        <f t="shared" si="9"/>
        <v>-0.01011235955</v>
      </c>
      <c r="X21" s="12">
        <f t="shared" si="9"/>
        <v>-0.008988764045</v>
      </c>
      <c r="Y21" s="12">
        <f t="shared" si="9"/>
        <v>-0.008988764045</v>
      </c>
      <c r="Z21" s="12">
        <f t="shared" si="9"/>
        <v>-0.005617977528</v>
      </c>
      <c r="AA21" s="12">
        <f t="shared" si="9"/>
        <v>-0.01348314607</v>
      </c>
      <c r="AB21" s="12"/>
      <c r="AC21" s="12"/>
      <c r="AD21" s="12"/>
      <c r="AE21" s="12">
        <f t="shared" ref="AE21:AT21" si="10">(AE8-$C8)/$C8</f>
        <v>-0.01460674157</v>
      </c>
      <c r="AF21" s="12">
        <f t="shared" si="10"/>
        <v>-0.01123595506</v>
      </c>
      <c r="AG21" s="12">
        <f t="shared" si="10"/>
        <v>-0.01123595506</v>
      </c>
      <c r="AH21" s="12">
        <f t="shared" si="10"/>
        <v>-0.01460674157</v>
      </c>
      <c r="AI21" s="12">
        <f t="shared" si="10"/>
        <v>-0.01460674157</v>
      </c>
      <c r="AJ21" s="12">
        <f t="shared" si="10"/>
        <v>-0.0202247191</v>
      </c>
      <c r="AK21" s="12">
        <f t="shared" si="10"/>
        <v>-0.01123595506</v>
      </c>
      <c r="AL21" s="12">
        <f t="shared" si="10"/>
        <v>-0.0191011236</v>
      </c>
      <c r="AM21" s="12" t="str">
        <f t="shared" si="10"/>
        <v>#VALUE!</v>
      </c>
      <c r="AN21" s="12" t="str">
        <f t="shared" si="10"/>
        <v>#VALUE!</v>
      </c>
      <c r="AO21" s="12" t="str">
        <f t="shared" si="10"/>
        <v>#VALUE!</v>
      </c>
      <c r="AP21" s="12" t="str">
        <f t="shared" si="10"/>
        <v>#VALUE!</v>
      </c>
      <c r="AQ21" s="12" t="str">
        <f t="shared" si="10"/>
        <v>#VALUE!</v>
      </c>
      <c r="AR21" s="12" t="str">
        <f t="shared" si="10"/>
        <v>#VALUE!</v>
      </c>
      <c r="AS21" s="12" t="str">
        <f t="shared" si="10"/>
        <v>#VALUE!</v>
      </c>
      <c r="AT21" s="12" t="str">
        <f t="shared" si="10"/>
        <v>#VALUE!</v>
      </c>
      <c r="AU21" s="12"/>
    </row>
    <row r="22">
      <c r="B22" s="13" t="s">
        <v>29</v>
      </c>
      <c r="C22" s="16">
        <v>0.0</v>
      </c>
      <c r="D22" s="12">
        <f t="shared" ref="D22:AA22" si="11">(D9-$C9)/$C9</f>
        <v>-0.01908801697</v>
      </c>
      <c r="E22" s="12">
        <f t="shared" si="11"/>
        <v>-0.01908801697</v>
      </c>
      <c r="F22" s="12">
        <f t="shared" si="11"/>
        <v>-0.02757158006</v>
      </c>
      <c r="G22" s="12">
        <f t="shared" si="11"/>
        <v>-0.02120890774</v>
      </c>
      <c r="H22" s="12">
        <f t="shared" si="11"/>
        <v>-0.02332979852</v>
      </c>
      <c r="I22" s="12">
        <f t="shared" si="11"/>
        <v>-0.01378579003</v>
      </c>
      <c r="J22" s="12">
        <f t="shared" si="11"/>
        <v>-0.01378579003</v>
      </c>
      <c r="K22" s="12">
        <f t="shared" si="11"/>
        <v>-0.01378579003</v>
      </c>
      <c r="L22" s="12">
        <f t="shared" si="11"/>
        <v>-0.01590668081</v>
      </c>
      <c r="M22" s="12">
        <f t="shared" si="11"/>
        <v>-0.009544008484</v>
      </c>
      <c r="N22" s="12">
        <f t="shared" si="11"/>
        <v>-0.01166489926</v>
      </c>
      <c r="O22" s="12">
        <f t="shared" si="11"/>
        <v>-0.004241781548</v>
      </c>
      <c r="P22" s="12">
        <f t="shared" si="11"/>
        <v>-0.02757158006</v>
      </c>
      <c r="Q22" s="12">
        <f t="shared" si="11"/>
        <v>-0.01378579003</v>
      </c>
      <c r="R22" s="12">
        <f t="shared" si="11"/>
        <v>-0.006362672322</v>
      </c>
      <c r="S22" s="12">
        <f t="shared" si="11"/>
        <v>-0.03923647932</v>
      </c>
      <c r="T22" s="12">
        <f t="shared" si="11"/>
        <v>-0.02757158006</v>
      </c>
      <c r="U22" s="12">
        <f t="shared" si="11"/>
        <v>-0.02014846235</v>
      </c>
      <c r="V22" s="12">
        <f t="shared" si="11"/>
        <v>-0.01908801697</v>
      </c>
      <c r="W22" s="12">
        <f t="shared" si="11"/>
        <v>-0.03075291622</v>
      </c>
      <c r="X22" s="12">
        <f t="shared" si="11"/>
        <v>-0.032873807</v>
      </c>
      <c r="Y22" s="12">
        <f t="shared" si="11"/>
        <v>-0.02863202545</v>
      </c>
      <c r="Z22" s="12">
        <f t="shared" si="11"/>
        <v>-0.03923647932</v>
      </c>
      <c r="AA22" s="12">
        <f t="shared" si="11"/>
        <v>-0.04772004242</v>
      </c>
      <c r="AB22" s="12"/>
      <c r="AC22" s="12"/>
      <c r="AD22" s="12"/>
      <c r="AE22" s="12">
        <f t="shared" ref="AE22:AT22" si="12">(AE9-$C9)/$C9</f>
        <v>-0.06362672322</v>
      </c>
      <c r="AF22" s="12">
        <f t="shared" si="12"/>
        <v>-0.07529162248</v>
      </c>
      <c r="AG22" s="12">
        <f t="shared" si="12"/>
        <v>-0.08695652174</v>
      </c>
      <c r="AH22" s="12">
        <f t="shared" si="12"/>
        <v>-0.09225874867</v>
      </c>
      <c r="AI22" s="12">
        <f t="shared" si="12"/>
        <v>-0.1018027572</v>
      </c>
      <c r="AJ22" s="12">
        <f t="shared" si="12"/>
        <v>-0.1113467656</v>
      </c>
      <c r="AK22" s="12">
        <f t="shared" si="12"/>
        <v>-0.098621421</v>
      </c>
      <c r="AL22" s="12">
        <f t="shared" si="12"/>
        <v>-0.1113467656</v>
      </c>
      <c r="AM22" s="12" t="str">
        <f t="shared" si="12"/>
        <v>#VALUE!</v>
      </c>
      <c r="AN22" s="12" t="str">
        <f t="shared" si="12"/>
        <v>#VALUE!</v>
      </c>
      <c r="AO22" s="12" t="str">
        <f t="shared" si="12"/>
        <v>#VALUE!</v>
      </c>
      <c r="AP22" s="12" t="str">
        <f t="shared" si="12"/>
        <v>#VALUE!</v>
      </c>
      <c r="AQ22" s="12" t="str">
        <f t="shared" si="12"/>
        <v>#VALUE!</v>
      </c>
      <c r="AR22" s="12" t="str">
        <f t="shared" si="12"/>
        <v>#VALUE!</v>
      </c>
      <c r="AS22" s="12" t="str">
        <f t="shared" si="12"/>
        <v>#VALUE!</v>
      </c>
      <c r="AT22" s="12" t="str">
        <f t="shared" si="12"/>
        <v>#VALUE!</v>
      </c>
      <c r="AU22" s="12"/>
    </row>
    <row r="23">
      <c r="B23" s="13" t="s">
        <v>30</v>
      </c>
      <c r="C23" s="16">
        <v>0.0</v>
      </c>
      <c r="D23" s="12">
        <f t="shared" ref="D23:AA23" si="13">(D10-$C10)/$C10</f>
        <v>-0.004052684904</v>
      </c>
      <c r="E23" s="12">
        <f t="shared" si="13"/>
        <v>-0.006079027356</v>
      </c>
      <c r="F23" s="12">
        <f t="shared" si="13"/>
        <v>-0.007092198582</v>
      </c>
      <c r="G23" s="12">
        <f t="shared" si="13"/>
        <v>-0.006079027356</v>
      </c>
      <c r="H23" s="12">
        <f t="shared" si="13"/>
        <v>-0.008105369807</v>
      </c>
      <c r="I23" s="12">
        <f t="shared" si="13"/>
        <v>-0.01013171226</v>
      </c>
      <c r="J23" s="12">
        <f t="shared" si="13"/>
        <v>-0.01519756839</v>
      </c>
      <c r="K23" s="12">
        <f t="shared" si="13"/>
        <v>-0.008105369807</v>
      </c>
      <c r="L23" s="12">
        <f t="shared" si="13"/>
        <v>-0.007092198582</v>
      </c>
      <c r="M23" s="12">
        <f t="shared" si="13"/>
        <v>0</v>
      </c>
      <c r="N23" s="12">
        <f t="shared" si="13"/>
        <v>-0.007092198582</v>
      </c>
      <c r="O23" s="12">
        <f t="shared" si="13"/>
        <v>-0.006079027356</v>
      </c>
      <c r="P23" s="12">
        <f t="shared" si="13"/>
        <v>-0.009118541033</v>
      </c>
      <c r="Q23" s="12">
        <f t="shared" si="13"/>
        <v>-0.01013171226</v>
      </c>
      <c r="R23" s="12">
        <f t="shared" si="13"/>
        <v>-0.02127659574</v>
      </c>
      <c r="S23" s="12">
        <f t="shared" si="13"/>
        <v>-0.02532928065</v>
      </c>
      <c r="T23" s="12">
        <f t="shared" si="13"/>
        <v>-0.003039513678</v>
      </c>
      <c r="U23" s="12">
        <f t="shared" si="13"/>
        <v>0.003039513678</v>
      </c>
      <c r="V23" s="12">
        <f t="shared" si="13"/>
        <v>-0.00506585613</v>
      </c>
      <c r="W23" s="12">
        <f t="shared" si="13"/>
        <v>0.003039513678</v>
      </c>
      <c r="X23" s="12">
        <f t="shared" si="13"/>
        <v>-0.008105369807</v>
      </c>
      <c r="Y23" s="12">
        <f t="shared" si="13"/>
        <v>0.006079027356</v>
      </c>
      <c r="Z23" s="12">
        <f t="shared" si="13"/>
        <v>0.01317122594</v>
      </c>
      <c r="AA23" s="12">
        <f t="shared" si="13"/>
        <v>0.02127659574</v>
      </c>
      <c r="AB23" s="12"/>
      <c r="AC23" s="12"/>
      <c r="AD23" s="12"/>
      <c r="AE23" s="12">
        <f t="shared" ref="AE23:AT23" si="14">(AE10-$C10)/$C10</f>
        <v>0.06686930091</v>
      </c>
      <c r="AF23" s="12">
        <f t="shared" si="14"/>
        <v>0.05369807497</v>
      </c>
      <c r="AG23" s="12">
        <f t="shared" si="14"/>
        <v>0.05369807497</v>
      </c>
      <c r="AH23" s="12">
        <f t="shared" si="14"/>
        <v>0.03951367781</v>
      </c>
      <c r="AI23" s="12">
        <f t="shared" si="14"/>
        <v>0.03242147923</v>
      </c>
      <c r="AJ23" s="12">
        <f t="shared" si="14"/>
        <v>0.03647416413</v>
      </c>
      <c r="AK23" s="12">
        <f t="shared" si="14"/>
        <v>0.03647416413</v>
      </c>
      <c r="AL23" s="12">
        <f t="shared" si="14"/>
        <v>0.02634245187</v>
      </c>
      <c r="AM23" s="12" t="str">
        <f t="shared" si="14"/>
        <v>#VALUE!</v>
      </c>
      <c r="AN23" s="12" t="str">
        <f t="shared" si="14"/>
        <v>#VALUE!</v>
      </c>
      <c r="AO23" s="12" t="str">
        <f t="shared" si="14"/>
        <v>#VALUE!</v>
      </c>
      <c r="AP23" s="12" t="str">
        <f t="shared" si="14"/>
        <v>#VALUE!</v>
      </c>
      <c r="AQ23" s="12" t="str">
        <f t="shared" si="14"/>
        <v>#VALUE!</v>
      </c>
      <c r="AR23" s="12" t="str">
        <f t="shared" si="14"/>
        <v>#VALUE!</v>
      </c>
      <c r="AS23" s="12" t="str">
        <f t="shared" si="14"/>
        <v>#VALUE!</v>
      </c>
      <c r="AT23" s="12" t="str">
        <f t="shared" si="14"/>
        <v>#VALUE!</v>
      </c>
      <c r="AU23" s="12"/>
    </row>
    <row r="24">
      <c r="B24" s="13" t="s">
        <v>31</v>
      </c>
      <c r="C24" s="16">
        <v>0.0</v>
      </c>
      <c r="D24" s="12">
        <f t="shared" ref="D24:AA24" si="15">(D11-$C11)/$C11</f>
        <v>0.02127659574</v>
      </c>
      <c r="E24" s="12">
        <f t="shared" si="15"/>
        <v>0.0313549832</v>
      </c>
      <c r="F24" s="12">
        <f t="shared" si="15"/>
        <v>0.03359462486</v>
      </c>
      <c r="G24" s="12">
        <f t="shared" si="15"/>
        <v>0.02463605823</v>
      </c>
      <c r="H24" s="12">
        <f t="shared" si="15"/>
        <v>0.02575587906</v>
      </c>
      <c r="I24" s="12">
        <f t="shared" si="15"/>
        <v>0.04591265398</v>
      </c>
      <c r="J24" s="12">
        <f t="shared" si="15"/>
        <v>0.04255319149</v>
      </c>
      <c r="K24" s="12">
        <f t="shared" si="15"/>
        <v>0.0313549832</v>
      </c>
      <c r="L24" s="12">
        <f t="shared" si="15"/>
        <v>0.04591265398</v>
      </c>
      <c r="M24" s="12">
        <f t="shared" si="15"/>
        <v>0.04143337066</v>
      </c>
      <c r="N24" s="12">
        <f t="shared" si="15"/>
        <v>0.05039193729</v>
      </c>
      <c r="O24" s="12">
        <f t="shared" si="15"/>
        <v>0.04031354983</v>
      </c>
      <c r="P24" s="12">
        <f t="shared" si="15"/>
        <v>0.04031354983</v>
      </c>
      <c r="Q24" s="12">
        <f t="shared" si="15"/>
        <v>0.04927211646</v>
      </c>
      <c r="R24" s="12">
        <f t="shared" si="15"/>
        <v>0.02911534155</v>
      </c>
      <c r="S24" s="12">
        <f t="shared" si="15"/>
        <v>0.039193729</v>
      </c>
      <c r="T24" s="12">
        <f t="shared" si="15"/>
        <v>0.01903695409</v>
      </c>
      <c r="U24" s="12">
        <f t="shared" si="15"/>
        <v>-0.004479283315</v>
      </c>
      <c r="V24" s="12">
        <f t="shared" si="15"/>
        <v>0.006718924972</v>
      </c>
      <c r="W24" s="12">
        <f t="shared" si="15"/>
        <v>-0.002239641657</v>
      </c>
      <c r="X24" s="12">
        <f t="shared" si="15"/>
        <v>-0.001119820829</v>
      </c>
      <c r="Y24" s="12">
        <f t="shared" si="15"/>
        <v>-0.001119820829</v>
      </c>
      <c r="Z24" s="12">
        <f t="shared" si="15"/>
        <v>-0.003359462486</v>
      </c>
      <c r="AA24" s="12">
        <f t="shared" si="15"/>
        <v>0.01007838746</v>
      </c>
      <c r="AB24" s="12"/>
      <c r="AC24" s="12"/>
      <c r="AD24" s="12"/>
      <c r="AE24" s="12">
        <f t="shared" ref="AE24:AT24" si="16">(AE11-$C11)/$C11</f>
        <v>0.03359462486</v>
      </c>
      <c r="AF24" s="12">
        <f t="shared" si="16"/>
        <v>0.03247480403</v>
      </c>
      <c r="AG24" s="12">
        <f t="shared" si="16"/>
        <v>0.02799552072</v>
      </c>
      <c r="AH24" s="12">
        <f t="shared" si="16"/>
        <v>0.04031354983</v>
      </c>
      <c r="AI24" s="12">
        <f t="shared" si="16"/>
        <v>0.04479283315</v>
      </c>
      <c r="AJ24" s="12">
        <f t="shared" si="16"/>
        <v>0.02911534155</v>
      </c>
      <c r="AK24" s="12">
        <f t="shared" si="16"/>
        <v>0.03583426652</v>
      </c>
      <c r="AL24" s="12">
        <f t="shared" si="16"/>
        <v>0.03583426652</v>
      </c>
      <c r="AM24" s="12" t="str">
        <f t="shared" si="16"/>
        <v>#VALUE!</v>
      </c>
      <c r="AN24" s="12" t="str">
        <f t="shared" si="16"/>
        <v>#VALUE!</v>
      </c>
      <c r="AO24" s="12" t="str">
        <f t="shared" si="16"/>
        <v>#VALUE!</v>
      </c>
      <c r="AP24" s="12" t="str">
        <f t="shared" si="16"/>
        <v>#VALUE!</v>
      </c>
      <c r="AQ24" s="12" t="str">
        <f t="shared" si="16"/>
        <v>#VALUE!</v>
      </c>
      <c r="AR24" s="12" t="str">
        <f t="shared" si="16"/>
        <v>#VALUE!</v>
      </c>
      <c r="AS24" s="12" t="str">
        <f t="shared" si="16"/>
        <v>#VALUE!</v>
      </c>
      <c r="AT24" s="12" t="str">
        <f t="shared" si="16"/>
        <v>#VALUE!</v>
      </c>
      <c r="AU24" s="12"/>
    </row>
    <row r="25">
      <c r="B25" s="13" t="s">
        <v>32</v>
      </c>
      <c r="C25" s="16">
        <v>0.0</v>
      </c>
      <c r="D25" s="12">
        <f t="shared" ref="D25:AA25" si="17">(D12-$C12)/$C12</f>
        <v>-0.0009433962264</v>
      </c>
      <c r="E25" s="12">
        <f t="shared" si="17"/>
        <v>-0.002830188679</v>
      </c>
      <c r="F25" s="12">
        <f t="shared" si="17"/>
        <v>-0.01132075472</v>
      </c>
      <c r="G25" s="12">
        <f t="shared" si="17"/>
        <v>-0.02641509434</v>
      </c>
      <c r="H25" s="12">
        <f t="shared" si="17"/>
        <v>-0.02641509434</v>
      </c>
      <c r="I25" s="12">
        <f t="shared" si="17"/>
        <v>-0.02547169811</v>
      </c>
      <c r="J25" s="12">
        <f t="shared" si="17"/>
        <v>-0.02924528302</v>
      </c>
      <c r="K25" s="12">
        <f t="shared" si="17"/>
        <v>-0.03773584906</v>
      </c>
      <c r="L25" s="12">
        <f t="shared" si="17"/>
        <v>-0.0320754717</v>
      </c>
      <c r="M25" s="12">
        <f t="shared" si="17"/>
        <v>-0.02641509434</v>
      </c>
      <c r="N25" s="12">
        <f t="shared" si="17"/>
        <v>-0.03018867925</v>
      </c>
      <c r="O25" s="12">
        <f t="shared" si="17"/>
        <v>-0.03490566038</v>
      </c>
      <c r="P25" s="12">
        <f t="shared" si="17"/>
        <v>-0.02830188679</v>
      </c>
      <c r="Q25" s="12">
        <f t="shared" si="17"/>
        <v>-0.02735849057</v>
      </c>
      <c r="R25" s="12">
        <f t="shared" si="17"/>
        <v>-0.02547169811</v>
      </c>
      <c r="S25" s="12">
        <f t="shared" si="17"/>
        <v>-0.03773584906</v>
      </c>
      <c r="T25" s="12">
        <f t="shared" si="17"/>
        <v>-0.02547169811</v>
      </c>
      <c r="U25" s="12">
        <f t="shared" si="17"/>
        <v>-0.02075471698</v>
      </c>
      <c r="V25" s="12">
        <f t="shared" si="17"/>
        <v>-0.02358490566</v>
      </c>
      <c r="W25" s="12">
        <f t="shared" si="17"/>
        <v>-0.02358490566</v>
      </c>
      <c r="X25" s="12">
        <f t="shared" si="17"/>
        <v>-0.02358490566</v>
      </c>
      <c r="Y25" s="12">
        <f t="shared" si="17"/>
        <v>-0.02264150943</v>
      </c>
      <c r="Z25" s="12">
        <f t="shared" si="17"/>
        <v>-0.02075471698</v>
      </c>
      <c r="AA25" s="12">
        <f t="shared" si="17"/>
        <v>-0.02264150943</v>
      </c>
      <c r="AB25" s="12"/>
      <c r="AC25" s="12"/>
      <c r="AD25" s="12"/>
      <c r="AE25" s="12">
        <f t="shared" ref="AE25:AT25" si="18">(AE12-$C12)/$C12</f>
        <v>0.02264150943</v>
      </c>
      <c r="AF25" s="12">
        <f t="shared" si="18"/>
        <v>0.009433962264</v>
      </c>
      <c r="AG25" s="12">
        <f t="shared" si="18"/>
        <v>0.01320754717</v>
      </c>
      <c r="AH25" s="12">
        <f t="shared" si="18"/>
        <v>0.004716981132</v>
      </c>
      <c r="AI25" s="12">
        <f t="shared" si="18"/>
        <v>-0.01886792453</v>
      </c>
      <c r="AJ25" s="12">
        <f t="shared" si="18"/>
        <v>-0.02924528302</v>
      </c>
      <c r="AK25" s="12">
        <f t="shared" si="18"/>
        <v>-0.02830188679</v>
      </c>
      <c r="AL25" s="12">
        <f t="shared" si="18"/>
        <v>-0.03867924528</v>
      </c>
      <c r="AM25" s="12" t="str">
        <f t="shared" si="18"/>
        <v>#VALUE!</v>
      </c>
      <c r="AN25" s="12" t="str">
        <f t="shared" si="18"/>
        <v>#VALUE!</v>
      </c>
      <c r="AO25" s="12" t="str">
        <f t="shared" si="18"/>
        <v>#VALUE!</v>
      </c>
      <c r="AP25" s="12" t="str">
        <f t="shared" si="18"/>
        <v>#VALUE!</v>
      </c>
      <c r="AQ25" s="12" t="str">
        <f t="shared" si="18"/>
        <v>#VALUE!</v>
      </c>
      <c r="AR25" s="12" t="str">
        <f t="shared" si="18"/>
        <v>#VALUE!</v>
      </c>
      <c r="AS25" s="12" t="str">
        <f t="shared" si="18"/>
        <v>#VALUE!</v>
      </c>
      <c r="AT25" s="12" t="str">
        <f t="shared" si="18"/>
        <v>#VALUE!</v>
      </c>
      <c r="AU25" s="12"/>
    </row>
    <row r="26">
      <c r="B26" s="1" t="s">
        <v>100</v>
      </c>
      <c r="C26" s="16">
        <v>0.0</v>
      </c>
      <c r="D26" s="12">
        <f t="shared" ref="D26:AA26" si="19">(D13-$C13)/$C13</f>
        <v>0</v>
      </c>
      <c r="E26" s="12">
        <f t="shared" si="19"/>
        <v>0</v>
      </c>
      <c r="F26" s="12">
        <f t="shared" si="19"/>
        <v>0</v>
      </c>
      <c r="G26" s="12">
        <f t="shared" si="19"/>
        <v>0</v>
      </c>
      <c r="H26" s="12">
        <f t="shared" si="19"/>
        <v>0</v>
      </c>
      <c r="I26" s="12">
        <f t="shared" si="19"/>
        <v>0</v>
      </c>
      <c r="J26" s="12">
        <f t="shared" si="19"/>
        <v>0</v>
      </c>
      <c r="K26" s="12">
        <f t="shared" si="19"/>
        <v>0</v>
      </c>
      <c r="L26" s="12">
        <f t="shared" si="19"/>
        <v>0</v>
      </c>
      <c r="M26" s="12">
        <f t="shared" si="19"/>
        <v>0</v>
      </c>
      <c r="N26" s="12">
        <f t="shared" si="19"/>
        <v>0</v>
      </c>
      <c r="O26" s="12">
        <f t="shared" si="19"/>
        <v>0</v>
      </c>
      <c r="P26" s="12">
        <f t="shared" si="19"/>
        <v>0</v>
      </c>
      <c r="Q26" s="12">
        <f t="shared" si="19"/>
        <v>0</v>
      </c>
      <c r="R26" s="12">
        <f t="shared" si="19"/>
        <v>0</v>
      </c>
      <c r="S26" s="12">
        <f t="shared" si="19"/>
        <v>0</v>
      </c>
      <c r="T26" s="12">
        <f t="shared" si="19"/>
        <v>0</v>
      </c>
      <c r="U26" s="12">
        <f t="shared" si="19"/>
        <v>0.005</v>
      </c>
      <c r="V26" s="12">
        <f t="shared" si="19"/>
        <v>-0.013</v>
      </c>
      <c r="W26" s="12">
        <f t="shared" si="19"/>
        <v>-0.012</v>
      </c>
      <c r="X26" s="12">
        <f t="shared" si="19"/>
        <v>-0.005</v>
      </c>
      <c r="Y26" s="12">
        <f t="shared" si="19"/>
        <v>0.02</v>
      </c>
      <c r="Z26" s="12">
        <f t="shared" si="19"/>
        <v>0.02</v>
      </c>
      <c r="AA26" s="12">
        <f t="shared" si="19"/>
        <v>0.008</v>
      </c>
      <c r="AB26" s="12"/>
      <c r="AC26" s="12"/>
      <c r="AD26" s="12"/>
      <c r="AE26" s="12">
        <f t="shared" ref="AE26:AT26" si="20">(AE13-$C13)/$C13</f>
        <v>0.021</v>
      </c>
      <c r="AF26" s="12">
        <f t="shared" si="20"/>
        <v>0.022</v>
      </c>
      <c r="AG26" s="12">
        <f t="shared" si="20"/>
        <v>0.028</v>
      </c>
      <c r="AH26" s="12">
        <f t="shared" si="20"/>
        <v>0.017</v>
      </c>
      <c r="AI26" s="12">
        <f t="shared" si="20"/>
        <v>0.01</v>
      </c>
      <c r="AJ26" s="12">
        <f t="shared" si="20"/>
        <v>0.003</v>
      </c>
      <c r="AK26" s="12">
        <f t="shared" si="20"/>
        <v>-0.001</v>
      </c>
      <c r="AL26" s="12">
        <f t="shared" si="20"/>
        <v>-0.006</v>
      </c>
      <c r="AM26" s="12" t="str">
        <f t="shared" si="20"/>
        <v>#VALUE!</v>
      </c>
      <c r="AN26" s="12" t="str">
        <f t="shared" si="20"/>
        <v>#VALUE!</v>
      </c>
      <c r="AO26" s="12" t="str">
        <f t="shared" si="20"/>
        <v>#VALUE!</v>
      </c>
      <c r="AP26" s="12" t="str">
        <f t="shared" si="20"/>
        <v>#VALUE!</v>
      </c>
      <c r="AQ26" s="12" t="str">
        <f t="shared" si="20"/>
        <v>#VALUE!</v>
      </c>
      <c r="AR26" s="12" t="str">
        <f t="shared" si="20"/>
        <v>#VALUE!</v>
      </c>
      <c r="AS26" s="12" t="str">
        <f t="shared" si="20"/>
        <v>#VALUE!</v>
      </c>
      <c r="AT26" s="12" t="str">
        <f t="shared" si="20"/>
        <v>#VALUE!</v>
      </c>
      <c r="AU26" s="12"/>
    </row>
    <row r="33">
      <c r="Y33" s="12"/>
      <c r="Z33" s="12"/>
    </row>
    <row r="34">
      <c r="Y34" s="12"/>
      <c r="Z34" s="12"/>
    </row>
    <row r="35">
      <c r="Y35" s="12"/>
      <c r="Z35" s="12"/>
    </row>
    <row r="36">
      <c r="Y36" s="12"/>
      <c r="Z36" s="12"/>
    </row>
    <row r="37">
      <c r="Y37" s="12"/>
      <c r="Z37" s="12"/>
    </row>
    <row r="38">
      <c r="Y38" s="12"/>
      <c r="Z38" s="12"/>
    </row>
    <row r="39">
      <c r="Y39" s="12"/>
      <c r="Z39" s="12"/>
    </row>
    <row r="40">
      <c r="Y40" s="12"/>
      <c r="Z40" s="12"/>
    </row>
    <row r="65" ht="22.5" customHeight="1">
      <c r="C65" s="74" t="s">
        <v>101</v>
      </c>
      <c r="D65" s="74" t="s">
        <v>102</v>
      </c>
      <c r="E65" s="75" t="s">
        <v>103</v>
      </c>
      <c r="F65" s="75" t="s">
        <v>104</v>
      </c>
      <c r="G65" s="75" t="s">
        <v>105</v>
      </c>
      <c r="H65" s="75" t="s">
        <v>106</v>
      </c>
    </row>
    <row r="66" ht="22.5" customHeight="1">
      <c r="C66" s="76" t="s">
        <v>107</v>
      </c>
      <c r="D66" s="77" t="str">
        <f>$B$7</f>
        <v>Jávor Tamás</v>
      </c>
      <c r="E66" s="78" t="str">
        <f>$C$7</f>
        <v>117,7</v>
      </c>
      <c r="F66" s="78" t="str">
        <f>$AA$7</f>
        <v>110,6</v>
      </c>
      <c r="G66" s="79">
        <f>$AA$20</f>
        <v>-0.06032285472</v>
      </c>
      <c r="H66" s="78">
        <f>$AA$7-$C$7</f>
        <v>-7.1</v>
      </c>
      <c r="J66" s="26"/>
      <c r="M66" s="26"/>
    </row>
    <row r="67" ht="22.5" customHeight="1">
      <c r="C67" s="76" t="s">
        <v>108</v>
      </c>
      <c r="D67" s="80" t="str">
        <f>$B$22</f>
        <v>Molnár György</v>
      </c>
      <c r="E67" s="78" t="str">
        <f>$C$9</f>
        <v>94,3</v>
      </c>
      <c r="F67" s="78" t="str">
        <f>$AA$9</f>
        <v>89,8</v>
      </c>
      <c r="G67" s="79">
        <f>$AA$22</f>
        <v>-0.04772004242</v>
      </c>
      <c r="H67" s="78">
        <f>$AA$9-$C$9</f>
        <v>-4.5</v>
      </c>
    </row>
    <row r="68" ht="22.5" customHeight="1">
      <c r="C68" s="76" t="s">
        <v>109</v>
      </c>
      <c r="D68" s="80" t="str">
        <f>$B$6</f>
        <v>Galgóczy Ádám</v>
      </c>
      <c r="E68" s="78" t="str">
        <f>$C$6</f>
        <v>107,5</v>
      </c>
      <c r="F68" s="78" t="str">
        <f>$AA$6</f>
        <v>102,6</v>
      </c>
      <c r="G68" s="79">
        <f>$AA$19</f>
        <v>-0.04558139535</v>
      </c>
      <c r="H68" s="78">
        <f>$AA$6-$C$6</f>
        <v>-4.9</v>
      </c>
    </row>
    <row r="69" ht="22.5" customHeight="1">
      <c r="C69" s="76" t="s">
        <v>110</v>
      </c>
      <c r="D69" s="80" t="str">
        <f>$B$12</f>
        <v>Várnoki Ádám</v>
      </c>
      <c r="E69" s="78" t="str">
        <f>$C$12</f>
        <v>106,0</v>
      </c>
      <c r="F69" s="78" t="str">
        <f>$AA$12</f>
        <v>103,6</v>
      </c>
      <c r="G69" s="79">
        <f>$AA$25</f>
        <v>-0.02264150943</v>
      </c>
      <c r="H69" s="78">
        <f>$AA$12-$C$12</f>
        <v>-2.4</v>
      </c>
    </row>
    <row r="70" ht="22.5" customHeight="1">
      <c r="C70" s="76" t="s">
        <v>111</v>
      </c>
      <c r="D70" s="80" t="str">
        <f>$B$21</f>
        <v>Krekuska Gábor</v>
      </c>
      <c r="E70" s="78" t="str">
        <f>$C$8</f>
        <v>89,0</v>
      </c>
      <c r="F70" s="78" t="str">
        <f>$AA$8</f>
        <v>87,8</v>
      </c>
      <c r="G70" s="79">
        <f>$AA$21</f>
        <v>-0.01348314607</v>
      </c>
      <c r="H70" s="78">
        <f>$AA$8-$C$8</f>
        <v>-1.2</v>
      </c>
    </row>
    <row r="71" ht="22.5" customHeight="1">
      <c r="C71" s="76" t="s">
        <v>112</v>
      </c>
      <c r="D71" s="76" t="str">
        <f>$B$13</f>
        <v>Szikora István</v>
      </c>
      <c r="E71" s="78" t="str">
        <f>$C$13</f>
        <v>100,0</v>
      </c>
      <c r="F71" s="78" t="str">
        <f>$AA$13</f>
        <v>100,8</v>
      </c>
      <c r="G71" s="79">
        <f>$AA$26</f>
        <v>0.008</v>
      </c>
      <c r="H71" s="78">
        <f>$AA$13-$C$13</f>
        <v>0.8</v>
      </c>
    </row>
    <row r="72" ht="22.5" customHeight="1">
      <c r="C72" s="76" t="s">
        <v>113</v>
      </c>
      <c r="D72" s="80" t="str">
        <f>$B$5</f>
        <v>Barcsik Kristóf</v>
      </c>
      <c r="E72" s="78" t="str">
        <f>$C$5</f>
        <v>ű</v>
      </c>
      <c r="F72" s="78" t="str">
        <f>$AA$5</f>
        <v>114,8</v>
      </c>
      <c r="G72" s="79" t="str">
        <f>$AA$18</f>
        <v>#VALUE!</v>
      </c>
      <c r="H72" s="78" t="str">
        <f>$AA$5-$C$5</f>
        <v>#VALUE!</v>
      </c>
    </row>
    <row r="73" ht="22.5" customHeight="1">
      <c r="C73" s="76" t="s">
        <v>114</v>
      </c>
      <c r="D73" s="80" t="str">
        <f>$B$11</f>
        <v>Vaspál Gergő</v>
      </c>
      <c r="E73" s="78" t="str">
        <f>$C$11</f>
        <v>89,3</v>
      </c>
      <c r="F73" s="78" t="str">
        <f>$AA$11</f>
        <v>90,2</v>
      </c>
      <c r="G73" s="79">
        <f>$AA$24</f>
        <v>0.01007838746</v>
      </c>
      <c r="H73" s="78">
        <f>$AA$11-$C$11</f>
        <v>0.9</v>
      </c>
    </row>
    <row r="74" ht="22.5" customHeight="1">
      <c r="C74" s="76" t="s">
        <v>115</v>
      </c>
      <c r="D74" s="80" t="str">
        <f>$B$10</f>
        <v>Varga Szabolcs</v>
      </c>
      <c r="E74" s="78" t="str">
        <f>$C$10</f>
        <v>98,7</v>
      </c>
      <c r="F74" s="78" t="str">
        <f>$AA$10</f>
        <v>100,8</v>
      </c>
      <c r="G74" s="79">
        <f>$AA$23</f>
        <v>0.02127659574</v>
      </c>
      <c r="H74" s="78">
        <f>$AA$10-$C$10</f>
        <v>2.1</v>
      </c>
    </row>
    <row r="75" ht="22.5" customHeight="1">
      <c r="H75" s="78"/>
    </row>
    <row r="76" ht="22.5" customHeight="1">
      <c r="D76" s="76" t="s">
        <v>116</v>
      </c>
      <c r="H76" s="78" t="str">
        <f>SUM(H66:H74)</f>
        <v>#VALUE!</v>
      </c>
    </row>
    <row r="77" ht="22.5" customHeight="1">
      <c r="D77" s="76" t="s">
        <v>117</v>
      </c>
      <c r="G77" s="81" t="str">
        <f>SUM(G66:G74)/9</f>
        <v>#VALUE!</v>
      </c>
      <c r="H77" s="78" t="str">
        <f>H76/9</f>
        <v>#VALUE!</v>
      </c>
    </row>
    <row r="81">
      <c r="B81" s="82" t="s">
        <v>118</v>
      </c>
      <c r="C81" s="83"/>
      <c r="D81" s="32" t="s">
        <v>119</v>
      </c>
      <c r="E81" s="32" t="s">
        <v>120</v>
      </c>
      <c r="F81" s="84"/>
      <c r="G81" s="32" t="s">
        <v>121</v>
      </c>
      <c r="H81" s="85" t="s">
        <v>98</v>
      </c>
    </row>
    <row r="82">
      <c r="A82" s="1">
        <v>9.0</v>
      </c>
      <c r="B82" s="86" t="s">
        <v>107</v>
      </c>
      <c r="C82" s="87" t="str">
        <f t="shared" ref="C82:D82" si="21">B9</f>
        <v>Molnár György</v>
      </c>
      <c r="D82" s="88" t="str">
        <f t="shared" si="21"/>
        <v>94,3</v>
      </c>
      <c r="E82" s="88" t="str">
        <f>AT9</f>
        <v>#VALUE!</v>
      </c>
      <c r="F82" s="87"/>
      <c r="G82" s="89" t="str">
        <f>AT22</f>
        <v>#VALUE!</v>
      </c>
      <c r="H82" s="90" t="str">
        <f>AU9</f>
        <v>#VALUE!</v>
      </c>
    </row>
    <row r="83">
      <c r="A83" s="1">
        <v>6.0</v>
      </c>
      <c r="B83" s="91" t="s">
        <v>108</v>
      </c>
      <c r="C83" s="87" t="str">
        <f t="shared" ref="C83:D83" si="22">B6</f>
        <v>Galgóczy Ádám</v>
      </c>
      <c r="D83" s="88" t="str">
        <f t="shared" si="22"/>
        <v>107,5</v>
      </c>
      <c r="E83" s="88" t="str">
        <f>AT6</f>
        <v>#VALUE!</v>
      </c>
      <c r="F83" s="87"/>
      <c r="G83" s="89" t="str">
        <f>AT19</f>
        <v>#VALUE!</v>
      </c>
      <c r="H83" s="90" t="str">
        <f>AU6</f>
        <v>#VALUE!</v>
      </c>
    </row>
    <row r="84">
      <c r="A84" s="1">
        <v>8.0</v>
      </c>
      <c r="B84" s="91" t="s">
        <v>109</v>
      </c>
      <c r="C84" s="87" t="str">
        <f t="shared" ref="C84:D84" si="23">B8</f>
        <v>Krekuska Gábor</v>
      </c>
      <c r="D84" s="88" t="str">
        <f t="shared" si="23"/>
        <v>89,0</v>
      </c>
      <c r="E84" s="88" t="str">
        <f>AT8</f>
        <v>#VALUE!</v>
      </c>
      <c r="F84" s="87"/>
      <c r="G84" s="89" t="str">
        <f>AT21</f>
        <v>#VALUE!</v>
      </c>
      <c r="H84" s="90" t="str">
        <f>AU8</f>
        <v>#VALUE!</v>
      </c>
    </row>
    <row r="85">
      <c r="A85" s="1">
        <v>7.0</v>
      </c>
      <c r="B85" s="91" t="s">
        <v>110</v>
      </c>
      <c r="C85" s="87" t="str">
        <f t="shared" ref="C85:D85" si="24">B7</f>
        <v>Jávor Tamás</v>
      </c>
      <c r="D85" s="88" t="str">
        <f t="shared" si="24"/>
        <v>117,7</v>
      </c>
      <c r="E85" s="88" t="str">
        <f>AT7</f>
        <v>#VALUE!</v>
      </c>
      <c r="F85" s="87"/>
      <c r="G85" s="89" t="str">
        <f>AT20</f>
        <v>#VALUE!</v>
      </c>
      <c r="H85" s="90" t="str">
        <f>AU7</f>
        <v>#VALUE!</v>
      </c>
    </row>
    <row r="86">
      <c r="A86" s="1">
        <v>13.0</v>
      </c>
      <c r="B86" s="92" t="s">
        <v>111</v>
      </c>
      <c r="C86" s="93" t="str">
        <f t="shared" ref="C86:D86" si="25">B13</f>
        <v>Szikora István</v>
      </c>
      <c r="D86" s="94" t="str">
        <f t="shared" si="25"/>
        <v>100,0</v>
      </c>
      <c r="E86" s="94" t="str">
        <f>AT13</f>
        <v>#VALUE!</v>
      </c>
      <c r="F86" s="93"/>
      <c r="G86" s="95" t="str">
        <f>AT26</f>
        <v>#VALUE!</v>
      </c>
      <c r="H86" s="96" t="str">
        <f>AU13</f>
        <v>#VALUE!</v>
      </c>
    </row>
    <row r="87">
      <c r="A87" s="1">
        <v>12.0</v>
      </c>
      <c r="B87" s="97" t="s">
        <v>112</v>
      </c>
      <c r="C87" s="98" t="str">
        <f t="shared" ref="C87:D87" si="26">B12</f>
        <v>Várnoki Ádám</v>
      </c>
      <c r="D87" s="99" t="str">
        <f t="shared" si="26"/>
        <v>106,0</v>
      </c>
      <c r="E87" s="99" t="str">
        <f>AT12</f>
        <v>#VALUE!</v>
      </c>
      <c r="F87" s="98"/>
      <c r="G87" s="100" t="str">
        <f>AT25</f>
        <v>#VALUE!</v>
      </c>
      <c r="H87" s="101" t="str">
        <f>AU12</f>
        <v>#VALUE!</v>
      </c>
    </row>
    <row r="88">
      <c r="A88" s="1">
        <v>11.0</v>
      </c>
      <c r="B88" s="97" t="s">
        <v>113</v>
      </c>
      <c r="C88" s="102" t="str">
        <f t="shared" ref="C88:D88" si="27">B11</f>
        <v>Vaspál Gergő</v>
      </c>
      <c r="D88" s="99" t="str">
        <f t="shared" si="27"/>
        <v>89,3</v>
      </c>
      <c r="E88" s="99" t="str">
        <f>AT11</f>
        <v>#VALUE!</v>
      </c>
      <c r="F88" s="98"/>
      <c r="G88" s="100" t="str">
        <f>AT24</f>
        <v>#VALUE!</v>
      </c>
      <c r="H88" s="101" t="str">
        <f>AU11</f>
        <v>#VALUE!</v>
      </c>
    </row>
    <row r="89">
      <c r="A89" s="1">
        <v>5.0</v>
      </c>
      <c r="B89" s="97" t="s">
        <v>114</v>
      </c>
      <c r="C89" s="98" t="str">
        <f t="shared" ref="C89:D89" si="28">B5</f>
        <v>Barcsik Kristóf</v>
      </c>
      <c r="D89" s="99" t="str">
        <f t="shared" si="28"/>
        <v>ű</v>
      </c>
      <c r="E89" s="99" t="str">
        <f>AT5</f>
        <v>#VALUE!</v>
      </c>
      <c r="F89" s="98"/>
      <c r="G89" s="100" t="str">
        <f>AT18</f>
        <v>#VALUE!</v>
      </c>
      <c r="H89" s="101" t="str">
        <f>AU5</f>
        <v>#VALUE!</v>
      </c>
    </row>
    <row r="90">
      <c r="A90" s="1">
        <v>10.0</v>
      </c>
      <c r="B90" s="103" t="s">
        <v>115</v>
      </c>
      <c r="C90" s="104" t="str">
        <f t="shared" ref="C90:D90" si="29">B10</f>
        <v>Varga Szabolcs</v>
      </c>
      <c r="D90" s="105" t="str">
        <f t="shared" si="29"/>
        <v>98,7</v>
      </c>
      <c r="E90" s="105" t="str">
        <f>AT10</f>
        <v>#VALUE!</v>
      </c>
      <c r="F90" s="104"/>
      <c r="G90" s="106" t="str">
        <f>AT23</f>
        <v>#VALUE!</v>
      </c>
      <c r="H90" s="107" t="str">
        <f>AU10</f>
        <v>#VALUE!</v>
      </c>
    </row>
    <row r="93">
      <c r="B93" s="108" t="s">
        <v>122</v>
      </c>
      <c r="C93" s="109"/>
      <c r="D93" s="110" t="s">
        <v>123</v>
      </c>
      <c r="E93" s="109"/>
      <c r="F93" s="111" t="s">
        <v>124</v>
      </c>
      <c r="G93" s="109"/>
    </row>
  </sheetData>
  <mergeCells count="4">
    <mergeCell ref="B81:C81"/>
    <mergeCell ref="B93:C93"/>
    <mergeCell ref="D93:E93"/>
    <mergeCell ref="F93:G93"/>
  </mergeCells>
  <drawing r:id="rId1"/>
  <tableParts count="2">
    <tablePart r:id="rId4"/>
    <tablePart r:id="rId5"/>
  </tableParts>
</worksheet>
</file>